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usara/Downloads/"/>
    </mc:Choice>
  </mc:AlternateContent>
  <xr:revisionPtr revIDLastSave="0" documentId="13_ncr:1_{4702CDF7-DBA4-3B4A-B70C-CD82C4BE246F}" xr6:coauthVersionLast="47" xr6:coauthVersionMax="47" xr10:uidLastSave="{00000000-0000-0000-0000-000000000000}"/>
  <bookViews>
    <workbookView xWindow="0" yWindow="600" windowWidth="28800" windowHeight="17400" xr2:uid="{00000000-000D-0000-FFFF-FFFF00000000}"/>
  </bookViews>
  <sheets>
    <sheet name="Data file" sheetId="62" r:id="rId1"/>
    <sheet name="Input Data Handling" sheetId="63" r:id="rId2"/>
  </sheets>
  <externalReferences>
    <externalReference r:id="rId3"/>
    <externalReference r:id="rId4"/>
    <externalReference r:id="rId5"/>
    <externalReference r:id="rId6"/>
  </externalReferences>
  <definedNames>
    <definedName name="anscount" hidden="1">10</definedName>
    <definedName name="Arrival_rate">[1]THISWORKSHEET!$B$7</definedName>
    <definedName name="changecolor" localSheetId="0">[2]!changecolor</definedName>
    <definedName name="changecolor">[2]!changecolor</definedName>
    <definedName name="color_CANCEL" localSheetId="0">[2]!color_CANCEL</definedName>
    <definedName name="color_CANCEL">[2]!color_CANCEL</definedName>
    <definedName name="color_DEFAULT" localSheetId="0">[2]!color_DEFAULT</definedName>
    <definedName name="color_DEFAULT">[2]!color_DEFAULT</definedName>
    <definedName name="color_OK" localSheetId="0">[2]!color_OK</definedName>
    <definedName name="color_OK">[2]!color_OK</definedName>
    <definedName name="colorlist_change" localSheetId="0">[2]!colorlist_change</definedName>
    <definedName name="colorlist_change">[2]!colorlist_change</definedName>
    <definedName name="lambda">[1]THISWORKSHEET!$B$7</definedName>
    <definedName name="sencount" hidden="1">9</definedName>
    <definedName name="setcolors" localSheetId="0">[3]!setcolors</definedName>
    <definedName name="setcolors">[3]!setcolors</definedName>
    <definedName name="solver_adj" localSheetId="0" hidden="1">'Data file'!$C$24:$J$33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'Data file'!$C$24:$J$33</definedName>
    <definedName name="solver_lhs10" localSheetId="0" hidden="1">'Data file'!$O$29</definedName>
    <definedName name="solver_lhs11" localSheetId="0" hidden="1">'Data file'!$O$30</definedName>
    <definedName name="solver_lhs2" localSheetId="0" hidden="1">'Data file'!$C$34</definedName>
    <definedName name="solver_lhs3" localSheetId="0" hidden="1">'Data file'!$C$34:$J$34</definedName>
    <definedName name="solver_lhs4" localSheetId="0" hidden="1">'Data file'!$D$34</definedName>
    <definedName name="solver_lhs5" localSheetId="0" hidden="1">'Data file'!$K$24:$K$33</definedName>
    <definedName name="solver_lhs6" localSheetId="0" hidden="1">'Data file'!$O$27</definedName>
    <definedName name="solver_lhs7" localSheetId="0" hidden="1">'Data file'!$O$28</definedName>
    <definedName name="solver_lhs8" localSheetId="0" hidden="1">'Data file'!$O$29</definedName>
    <definedName name="solver_lhs9" localSheetId="0" hidden="1">'Data file'!$O$30</definedName>
    <definedName name="solver_lin" localSheetId="0" hidden="1">1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2</definedName>
    <definedName name="solver_nod" localSheetId="0" hidden="1">2147483647</definedName>
    <definedName name="solver_num" localSheetId="0" hidden="1">9</definedName>
    <definedName name="solver_nwt" localSheetId="0" hidden="1">1</definedName>
    <definedName name="solver_opt" localSheetId="0" hidden="1">'Data file'!$C$41</definedName>
    <definedName name="solver_pre" localSheetId="0" hidden="1">0.000001</definedName>
    <definedName name="solver_rbv" localSheetId="0" hidden="1">1</definedName>
    <definedName name="solver_rel1" localSheetId="0" hidden="1">5</definedName>
    <definedName name="solver_rel10" localSheetId="0" hidden="1">1</definedName>
    <definedName name="solver_rel11" localSheetId="0" hidden="1">1</definedName>
    <definedName name="solver_rel2" localSheetId="0" hidden="1">2</definedName>
    <definedName name="solver_rel3" localSheetId="0" hidden="1">1</definedName>
    <definedName name="solver_rel4" localSheetId="0" hidden="1">2</definedName>
    <definedName name="solver_rel5" localSheetId="0" hidden="1">1</definedName>
    <definedName name="solver_rel6" localSheetId="0" hidden="1">2</definedName>
    <definedName name="solver_rel7" localSheetId="0" hidden="1">2</definedName>
    <definedName name="solver_rel8" localSheetId="0" hidden="1">1</definedName>
    <definedName name="solver_rel9" localSheetId="0" hidden="1">1</definedName>
    <definedName name="solver_rhs1" localSheetId="0" hidden="1">"binary"</definedName>
    <definedName name="solver_rhs10" localSheetId="0" hidden="1">1</definedName>
    <definedName name="solver_rhs11" localSheetId="0" hidden="1">1</definedName>
    <definedName name="solver_rhs2" localSheetId="0" hidden="1">1</definedName>
    <definedName name="solver_rhs3" localSheetId="0" hidden="1">1</definedName>
    <definedName name="solver_rhs4" localSheetId="0" hidden="1">1</definedName>
    <definedName name="solver_rhs5" localSheetId="0" hidden="1">1</definedName>
    <definedName name="solver_rhs6" localSheetId="0" hidden="1">1</definedName>
    <definedName name="solver_rhs7" localSheetId="0" hidden="1">2</definedName>
    <definedName name="solver_rhs8" localSheetId="0" hidden="1">1</definedName>
    <definedName name="solver_rhs9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mp" localSheetId="0" hidden="1">0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2</definedName>
    <definedName name="x" localSheetId="0">[4]!changecolor</definedName>
    <definedName name="x">[4]!changecolor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0" i="62" l="1"/>
  <c r="O29" i="62"/>
  <c r="O28" i="62"/>
  <c r="O27" i="62"/>
  <c r="D34" i="62"/>
  <c r="G34" i="62"/>
  <c r="K25" i="62"/>
  <c r="K26" i="62"/>
  <c r="K27" i="62"/>
  <c r="K28" i="62"/>
  <c r="K29" i="62"/>
  <c r="K30" i="62"/>
  <c r="K31" i="62"/>
  <c r="K32" i="62"/>
  <c r="K33" i="62"/>
  <c r="K24" i="62"/>
  <c r="C41" i="62"/>
  <c r="E34" i="62"/>
  <c r="F34" i="62"/>
  <c r="H34" i="62"/>
  <c r="I34" i="62"/>
  <c r="J34" i="62"/>
  <c r="C34" i="6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Janice</author>
  </authors>
  <commentList>
    <comment ref="C8" authorId="0" shapeId="0" xr:uid="{00000000-0006-0000-0700-000001000000}">
      <text>
        <r>
          <rPr>
            <sz val="9"/>
            <color rgb="FF000000"/>
            <rFont val="Tahoma"/>
            <family val="2"/>
          </rPr>
          <t xml:space="preserve">Business Strategy
</t>
        </r>
      </text>
    </comment>
    <comment ref="D8" authorId="0" shapeId="0" xr:uid="{00000000-0006-0000-0700-000002000000}">
      <text>
        <r>
          <rPr>
            <sz val="9"/>
            <color rgb="FF000000"/>
            <rFont val="Tahoma"/>
            <family val="2"/>
          </rPr>
          <t xml:space="preserve">International Finance
</t>
        </r>
      </text>
    </comment>
    <comment ref="E8" authorId="0" shapeId="0" xr:uid="{00000000-0006-0000-0700-000003000000}">
      <text>
        <r>
          <rPr>
            <sz val="9"/>
            <color rgb="FF000000"/>
            <rFont val="Tahoma"/>
            <family val="2"/>
          </rPr>
          <t xml:space="preserve">Intergenerational Computing
</t>
        </r>
      </text>
    </comment>
    <comment ref="F8" authorId="0" shapeId="0" xr:uid="{00000000-0006-0000-0700-000004000000}">
      <text>
        <r>
          <rPr>
            <sz val="9"/>
            <color rgb="FF000000"/>
            <rFont val="Tahoma"/>
            <family val="2"/>
          </rPr>
          <t xml:space="preserve">Web Design
</t>
        </r>
      </text>
    </comment>
    <comment ref="G8" authorId="0" shapeId="0" xr:uid="{00000000-0006-0000-0700-000005000000}">
      <text>
        <r>
          <rPr>
            <sz val="9"/>
            <color rgb="FF000000"/>
            <rFont val="Tahoma"/>
            <family val="2"/>
          </rPr>
          <t xml:space="preserve">Data Analysis in Finance
</t>
        </r>
      </text>
    </comment>
    <comment ref="H8" authorId="0" shapeId="0" xr:uid="{00000000-0006-0000-0700-000006000000}">
      <text>
        <r>
          <rPr>
            <sz val="9"/>
            <color rgb="FF000000"/>
            <rFont val="Tahoma"/>
            <family val="2"/>
          </rPr>
          <t xml:space="preserve">Risk Management
</t>
        </r>
      </text>
    </comment>
    <comment ref="I8" authorId="0" shapeId="0" xr:uid="{00000000-0006-0000-0700-000007000000}">
      <text>
        <r>
          <rPr>
            <sz val="9"/>
            <color rgb="FF000000"/>
            <rFont val="Tahoma"/>
            <family val="2"/>
          </rPr>
          <t xml:space="preserve">Options, Futures and Swaps
</t>
        </r>
      </text>
    </comment>
    <comment ref="J8" authorId="0" shapeId="0" xr:uid="{00000000-0006-0000-0700-000008000000}">
      <text>
        <r>
          <rPr>
            <sz val="9"/>
            <color rgb="FF000000"/>
            <rFont val="Tahoma"/>
            <family val="2"/>
          </rPr>
          <t xml:space="preserve">Fixed Instruments and Markets
</t>
        </r>
      </text>
    </comment>
    <comment ref="C23" authorId="0" shapeId="0" xr:uid="{FD0C4751-4844-0B43-B2BB-0D6710EFBB03}">
      <text>
        <r>
          <rPr>
            <sz val="9"/>
            <color rgb="FF000000"/>
            <rFont val="Tahoma"/>
            <family val="2"/>
          </rPr>
          <t xml:space="preserve">Business Strategy
</t>
        </r>
      </text>
    </comment>
    <comment ref="D23" authorId="0" shapeId="0" xr:uid="{B5A8025B-C07F-B349-BCB0-D1018C5E305E}">
      <text>
        <r>
          <rPr>
            <sz val="9"/>
            <color rgb="FF000000"/>
            <rFont val="Tahoma"/>
            <family val="2"/>
          </rPr>
          <t xml:space="preserve">International Finance
</t>
        </r>
      </text>
    </comment>
    <comment ref="E23" authorId="0" shapeId="0" xr:uid="{8474907A-9627-5540-83B8-C94327F62D83}">
      <text>
        <r>
          <rPr>
            <sz val="9"/>
            <color rgb="FF000000"/>
            <rFont val="Tahoma"/>
            <family val="2"/>
          </rPr>
          <t xml:space="preserve">Intergenerational Computing
</t>
        </r>
      </text>
    </comment>
    <comment ref="F23" authorId="0" shapeId="0" xr:uid="{D45E0FF3-8F2B-724F-B8E0-346228873A3B}">
      <text>
        <r>
          <rPr>
            <sz val="9"/>
            <color rgb="FF000000"/>
            <rFont val="Tahoma"/>
            <family val="2"/>
          </rPr>
          <t xml:space="preserve">Web Design
</t>
        </r>
      </text>
    </comment>
    <comment ref="G23" authorId="0" shapeId="0" xr:uid="{BA9B9420-3856-D042-A49C-F03052AD6462}">
      <text>
        <r>
          <rPr>
            <sz val="9"/>
            <color rgb="FF000000"/>
            <rFont val="Tahoma"/>
            <family val="2"/>
          </rPr>
          <t xml:space="preserve">Data Analysis in Finance
</t>
        </r>
      </text>
    </comment>
    <comment ref="H23" authorId="0" shapeId="0" xr:uid="{74DDF233-A14F-E541-9141-3176FB0C2654}">
      <text>
        <r>
          <rPr>
            <sz val="9"/>
            <color rgb="FF000000"/>
            <rFont val="Tahoma"/>
            <family val="2"/>
          </rPr>
          <t xml:space="preserve">Risk Management
</t>
        </r>
      </text>
    </comment>
    <comment ref="I23" authorId="0" shapeId="0" xr:uid="{A0081D6B-5A43-2346-A4FD-3E05D70C2FE6}">
      <text>
        <r>
          <rPr>
            <sz val="9"/>
            <color rgb="FF000000"/>
            <rFont val="Tahoma"/>
            <family val="2"/>
          </rPr>
          <t xml:space="preserve">Options, Futures and Swaps
</t>
        </r>
      </text>
    </comment>
    <comment ref="J23" authorId="0" shapeId="0" xr:uid="{CBE6F01A-19A7-BD47-BB5E-5C427400C4C2}">
      <text>
        <r>
          <rPr>
            <sz val="9"/>
            <color rgb="FF000000"/>
            <rFont val="Tahoma"/>
            <family val="2"/>
          </rPr>
          <t xml:space="preserve">Fixed Instruments and Markets
</t>
        </r>
      </text>
    </comment>
  </commentList>
</comments>
</file>

<file path=xl/sharedStrings.xml><?xml version="1.0" encoding="utf-8"?>
<sst xmlns="http://schemas.openxmlformats.org/spreadsheetml/2006/main" count="100" uniqueCount="55">
  <si>
    <t>Data</t>
  </si>
  <si>
    <t>Time Slots</t>
  </si>
  <si>
    <t>M Eve</t>
  </si>
  <si>
    <t>T Eve</t>
  </si>
  <si>
    <t>W Eve</t>
  </si>
  <si>
    <t>Th Eve</t>
  </si>
  <si>
    <t>F Eve</t>
  </si>
  <si>
    <t>M 1:25-3:15
W 1:25-2:20</t>
  </si>
  <si>
    <t>M 1:25-2:20
W 1:25-3:15</t>
  </si>
  <si>
    <t>T 1:25-3:15
Th 1:25-2:20</t>
  </si>
  <si>
    <t>Th 2:30-5:15</t>
  </si>
  <si>
    <t>W 2:30-5:15</t>
  </si>
  <si>
    <t>BIS101</t>
  </si>
  <si>
    <t>FIN300</t>
  </si>
  <si>
    <t>CIS 101</t>
  </si>
  <si>
    <t>CIS 102</t>
  </si>
  <si>
    <t>FIN 315</t>
  </si>
  <si>
    <t>FIN 316</t>
  </si>
  <si>
    <t>FIN 317</t>
  </si>
  <si>
    <t>FIN 318</t>
  </si>
  <si>
    <t>Modules</t>
  </si>
  <si>
    <t>Available Modules, Time slots, and Ratings</t>
  </si>
  <si>
    <t>Module(i)</t>
  </si>
  <si>
    <t>Time Slot (j)</t>
  </si>
  <si>
    <t>Rating (rij)</t>
  </si>
  <si>
    <t>Business Strategy</t>
  </si>
  <si>
    <t>BS101</t>
  </si>
  <si>
    <t>CS101</t>
  </si>
  <si>
    <t>CS102</t>
  </si>
  <si>
    <t>FIN315</t>
  </si>
  <si>
    <t>FIN316</t>
  </si>
  <si>
    <t>FIN317</t>
  </si>
  <si>
    <t>FIN318</t>
  </si>
  <si>
    <t>International Finance</t>
  </si>
  <si>
    <t>Intergenerational Computing</t>
  </si>
  <si>
    <t>Web Design for NonProfit Organizations</t>
  </si>
  <si>
    <t>Data Analysis in Finance</t>
  </si>
  <si>
    <t>Risk Management</t>
  </si>
  <si>
    <t>Options, Futures and Swaps</t>
  </si>
  <si>
    <t>Fixed Instruments and Markets</t>
  </si>
  <si>
    <t>T 6-8:45 P.M</t>
  </si>
  <si>
    <t>M 1:25-3:15 P.M / W 1:25-2:20 P.M</t>
  </si>
  <si>
    <t>M 1:25-2:20 P.M / W 1:25-3:15 P.M</t>
  </si>
  <si>
    <t>W 2:30-5:15 P.M</t>
  </si>
  <si>
    <t>T 1:25-3:15 P.M / Th 1:25 - 2:20 P.M</t>
  </si>
  <si>
    <t>Th 2:30-5:15 P.M</t>
  </si>
  <si>
    <t>M 6-8:45 P.M</t>
  </si>
  <si>
    <t>W 6-8:45 P.M</t>
  </si>
  <si>
    <t>Th 6-8:45 P.M</t>
  </si>
  <si>
    <t>F 6-8:45 P.M</t>
  </si>
  <si>
    <t>Obj func</t>
  </si>
  <si>
    <t>Industry Module Total</t>
  </si>
  <si>
    <t>Finance Optional Total</t>
  </si>
  <si>
    <t>Conflict 1</t>
  </si>
  <si>
    <t>Conflict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</si>
</sst>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18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indexed="16"/>
      <name val="Calibri"/>
      <family val="2"/>
      <scheme val="minor"/>
    </font>
    <font>
      <sz val="10"/>
      <color indexed="8"/>
      <name val="Calibri"/>
      <family val="2"/>
      <scheme val="minor"/>
    </font>
    <font>
      <sz val="11"/>
      <color indexed="10"/>
      <name val="Calibri"/>
      <family val="2"/>
      <scheme val="minor"/>
    </font>
    <font>
      <b/>
      <sz val="11"/>
      <color indexed="21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9"/>
      <color rgb="FF000000"/>
      <name val="Tahoma"/>
      <family val="2"/>
    </font>
    <font>
      <b/>
      <sz val="10"/>
      <name val="Arial"/>
      <family val="2"/>
    </font>
    <font>
      <b/>
      <sz val="10"/>
      <color theme="0"/>
      <name val="Arial"/>
      <family val="2"/>
    </font>
    <font>
      <sz val="1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</fills>
  <borders count="1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indexed="64"/>
      </top>
      <bottom style="thin">
        <color theme="0" tint="-0.24994659260841701"/>
      </bottom>
      <diagonal/>
    </border>
    <border>
      <left style="thin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indexed="64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3" fillId="0" borderId="1"/>
    <xf numFmtId="0" fontId="2" fillId="0" borderId="0"/>
  </cellStyleXfs>
  <cellXfs count="54">
    <xf numFmtId="0" fontId="0" fillId="0" borderId="0" xfId="0"/>
    <xf numFmtId="164" fontId="3" fillId="0" borderId="0" xfId="1" applyBorder="1"/>
    <xf numFmtId="164" fontId="3" fillId="0" borderId="0" xfId="1" applyBorder="1" applyAlignment="1">
      <alignment wrapText="1"/>
    </xf>
    <xf numFmtId="164" fontId="5" fillId="0" borderId="2" xfId="1" applyFont="1" applyBorder="1" applyAlignment="1">
      <alignment horizontal="center"/>
    </xf>
    <xf numFmtId="164" fontId="4" fillId="0" borderId="0" xfId="1" applyFont="1" applyBorder="1"/>
    <xf numFmtId="164" fontId="7" fillId="0" borderId="0" xfId="1" applyFont="1" applyBorder="1"/>
    <xf numFmtId="164" fontId="8" fillId="0" borderId="0" xfId="1" applyFont="1" applyBorder="1"/>
    <xf numFmtId="164" fontId="8" fillId="0" borderId="0" xfId="1" applyFont="1" applyBorder="1" applyAlignment="1">
      <alignment wrapText="1"/>
    </xf>
    <xf numFmtId="164" fontId="6" fillId="0" borderId="0" xfId="1" applyFont="1" applyBorder="1"/>
    <xf numFmtId="164" fontId="9" fillId="0" borderId="0" xfId="1" applyFont="1" applyBorder="1"/>
    <xf numFmtId="164" fontId="10" fillId="0" borderId="0" xfId="1" applyFont="1" applyBorder="1"/>
    <xf numFmtId="164" fontId="11" fillId="0" borderId="0" xfId="1" applyFont="1" applyBorder="1"/>
    <xf numFmtId="0" fontId="5" fillId="0" borderId="0" xfId="0" applyFont="1"/>
    <xf numFmtId="164" fontId="4" fillId="0" borderId="0" xfId="1" applyFont="1" applyBorder="1" applyAlignment="1">
      <alignment wrapText="1"/>
    </xf>
    <xf numFmtId="164" fontId="12" fillId="0" borderId="0" xfId="1" applyFont="1" applyBorder="1" applyAlignment="1">
      <alignment wrapText="1"/>
    </xf>
    <xf numFmtId="164" fontId="4" fillId="0" borderId="0" xfId="1" quotePrefix="1" applyFont="1" applyBorder="1"/>
    <xf numFmtId="164" fontId="13" fillId="0" borderId="0" xfId="1" applyFont="1" applyBorder="1"/>
    <xf numFmtId="164" fontId="5" fillId="0" borderId="3" xfId="1" applyFont="1" applyBorder="1" applyAlignment="1">
      <alignment horizontal="center"/>
    </xf>
    <xf numFmtId="164" fontId="5" fillId="0" borderId="4" xfId="1" applyFont="1" applyBorder="1" applyAlignment="1">
      <alignment horizontal="center"/>
    </xf>
    <xf numFmtId="164" fontId="5" fillId="0" borderId="5" xfId="1" applyFont="1" applyBorder="1" applyAlignment="1">
      <alignment horizontal="center"/>
    </xf>
    <xf numFmtId="164" fontId="5" fillId="0" borderId="6" xfId="1" applyFont="1" applyBorder="1" applyAlignment="1">
      <alignment horizontal="center"/>
    </xf>
    <xf numFmtId="164" fontId="5" fillId="0" borderId="7" xfId="1" applyFont="1" applyBorder="1" applyAlignment="1">
      <alignment horizontal="center"/>
    </xf>
    <xf numFmtId="164" fontId="5" fillId="0" borderId="8" xfId="1" applyFont="1" applyBorder="1" applyAlignment="1">
      <alignment horizontal="center"/>
    </xf>
    <xf numFmtId="164" fontId="5" fillId="0" borderId="9" xfId="1" applyFont="1" applyBorder="1" applyAlignment="1">
      <alignment horizontal="center"/>
    </xf>
    <xf numFmtId="164" fontId="5" fillId="0" borderId="10" xfId="1" applyFont="1" applyBorder="1" applyAlignment="1">
      <alignment horizontal="center"/>
    </xf>
    <xf numFmtId="164" fontId="1" fillId="0" borderId="0" xfId="1" applyFont="1" applyBorder="1"/>
    <xf numFmtId="164" fontId="1" fillId="0" borderId="0" xfId="1" applyFont="1" applyBorder="1" applyAlignment="1">
      <alignment horizontal="center"/>
    </xf>
    <xf numFmtId="164" fontId="4" fillId="0" borderId="0" xfId="1" applyFont="1" applyBorder="1" applyAlignment="1">
      <alignment horizontal="center" wrapText="1"/>
    </xf>
    <xf numFmtId="164" fontId="4" fillId="0" borderId="0" xfId="1" applyFont="1" applyBorder="1" applyAlignment="1">
      <alignment vertical="center"/>
    </xf>
    <xf numFmtId="0" fontId="16" fillId="2" borderId="11" xfId="0" applyFont="1" applyFill="1" applyBorder="1"/>
    <xf numFmtId="0" fontId="17" fillId="2" borderId="11" xfId="0" applyFont="1" applyFill="1" applyBorder="1"/>
    <xf numFmtId="0" fontId="17" fillId="0" borderId="11" xfId="0" applyFont="1" applyBorder="1"/>
    <xf numFmtId="0" fontId="17" fillId="3" borderId="11" xfId="0" applyFont="1" applyFill="1" applyBorder="1"/>
    <xf numFmtId="0" fontId="17" fillId="4" borderId="11" xfId="0" applyFont="1" applyFill="1" applyBorder="1"/>
    <xf numFmtId="0" fontId="17" fillId="5" borderId="11" xfId="0" applyFont="1" applyFill="1" applyBorder="1"/>
    <xf numFmtId="0" fontId="17" fillId="6" borderId="11" xfId="0" applyFont="1" applyFill="1" applyBorder="1"/>
    <xf numFmtId="0" fontId="17" fillId="7" borderId="11" xfId="0" applyFont="1" applyFill="1" applyBorder="1"/>
    <xf numFmtId="0" fontId="17" fillId="8" borderId="11" xfId="0" applyFont="1" applyFill="1" applyBorder="1"/>
    <xf numFmtId="0" fontId="17" fillId="9" borderId="11" xfId="0" applyFont="1" applyFill="1" applyBorder="1"/>
    <xf numFmtId="0" fontId="17" fillId="10" borderId="11" xfId="0" applyFont="1" applyFill="1" applyBorder="1"/>
    <xf numFmtId="0" fontId="17" fillId="12" borderId="11" xfId="0" applyFont="1" applyFill="1" applyBorder="1"/>
    <xf numFmtId="0" fontId="17" fillId="13" borderId="11" xfId="0" applyFont="1" applyFill="1" applyBorder="1"/>
    <xf numFmtId="0" fontId="17" fillId="14" borderId="11" xfId="0" applyFont="1" applyFill="1" applyBorder="1"/>
    <xf numFmtId="0" fontId="17" fillId="11" borderId="11" xfId="0" applyFont="1" applyFill="1" applyBorder="1"/>
    <xf numFmtId="0" fontId="0" fillId="0" borderId="11" xfId="0" applyBorder="1"/>
    <xf numFmtId="0" fontId="17" fillId="0" borderId="11" xfId="0" applyFont="1" applyFill="1" applyBorder="1"/>
    <xf numFmtId="164" fontId="5" fillId="15" borderId="11" xfId="1" applyFont="1" applyFill="1" applyBorder="1" applyAlignment="1">
      <alignment horizontal="center"/>
    </xf>
    <xf numFmtId="0" fontId="5" fillId="15" borderId="11" xfId="0" applyFont="1" applyFill="1" applyBorder="1"/>
    <xf numFmtId="164" fontId="4" fillId="16" borderId="0" xfId="1" applyFont="1" applyFill="1" applyBorder="1"/>
    <xf numFmtId="164" fontId="13" fillId="0" borderId="0" xfId="1" applyFont="1" applyFill="1" applyBorder="1"/>
    <xf numFmtId="164" fontId="4" fillId="0" borderId="0" xfId="1" applyFont="1" applyFill="1" applyBorder="1"/>
    <xf numFmtId="164" fontId="4" fillId="17" borderId="0" xfId="1" applyFont="1" applyFill="1" applyBorder="1"/>
    <xf numFmtId="164" fontId="4" fillId="17" borderId="0" xfId="1" applyFont="1" applyFill="1" applyBorder="1" applyAlignment="1">
      <alignment horizontal="right"/>
    </xf>
    <xf numFmtId="0" fontId="15" fillId="0" borderId="0" xfId="0" applyFont="1"/>
  </cellXfs>
  <cellStyles count="3">
    <cellStyle name="Normal" xfId="0" builtinId="0"/>
    <cellStyle name="Normal 2" xfId="2" xr:uid="{00000000-0005-0000-0000-000001000000}"/>
    <cellStyle name="Normal_Trans_min" xfId="1" xr:uid="{00000000-0005-0000-0000-000002000000}"/>
  </cellStyles>
  <dxfs count="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THISWORKSHEET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/A_TEMP/WEISS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/A_TEMP/WEIS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WINDOWS/DESKTOP/WEISS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ISWORKSHEET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EISS2"/>
      <sheetName val="WEISS2.XLS"/>
    </sheetNames>
    <definedNames>
      <definedName name="changecolor"/>
      <definedName name="color_CANCEL"/>
      <definedName name="color_DEFAULT"/>
      <definedName name="color_OK"/>
      <definedName name="colorlist_change"/>
    </definedNames>
    <sheetDataSet>
      <sheetData sheetId="0" refreshError="1"/>
      <sheetData sheetId="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EISS"/>
      <sheetName val="WEISS.XLS"/>
    </sheetNames>
    <definedNames>
      <definedName name="setcolors"/>
    </definedNames>
    <sheetDataSet>
      <sheetData sheetId="0" refreshError="1"/>
      <sheetData sheetId="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EISS2"/>
      <sheetName val="WEISS2.XLS"/>
    </sheetNames>
    <definedNames>
      <definedName name="changecolor"/>
    </defined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BCD63D8-9D29-4B4B-B62C-35F72409D6A5}">
  <we:reference id="wa104100404" version="3.0.0.1" store="en-GB" storeType="OMEX"/>
  <we:alternateReferences>
    <we:reference id="wa104100404" version="3.0.0.1" store="wa104100404" storeType="OMEX"/>
  </we:alternateReferences>
  <we:properties>
    <we:property name="UniqueID" value="&quot;2024921727861254609&quot;"/>
    <we:property name="Xyk+LAFDND4BCnURCA8MRi81J0wsIT0=" value="&quot;FgV+fFw=&quot;"/>
    <we:property name="Xyk+LAFDND4BCnURCA8MRi81J0wQLDsDByc9Ag0e" value="&quot;fhY=&quot;"/>
    <we:property name="Xyk+LAFDND4BCnURCA8MRi81J0wuIi84Czs=" value="&quot;Aw==&quot;"/>
  </we:properties>
  <we:bindings>
    <we:binding id="refEdit" type="matrix" appref="{952A569A-1244-1543-8E0B-ACBE21F01E6B}"/>
    <we:binding id="Worker" type="matrix" appref="{8C463D25-C382-D54A-98F3-9A5863C13A5E}"/>
    <we:binding id="Obj" type="matrix" appref="{7E57DBEB-2EC3-9646-ADBE-9523AB2F73CE}"/>
  </we:bindings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AW41"/>
  <sheetViews>
    <sheetView tabSelected="1" topLeftCell="A5" zoomScale="90" zoomScaleNormal="90" workbookViewId="0">
      <selection activeCell="O32" sqref="O32"/>
    </sheetView>
  </sheetViews>
  <sheetFormatPr baseColWidth="10" defaultColWidth="8.83203125" defaultRowHeight="15" x14ac:dyDescent="0.2"/>
  <cols>
    <col min="1" max="1" width="6.6640625" style="4" customWidth="1"/>
    <col min="2" max="2" width="16.6640625" style="4" customWidth="1"/>
    <col min="3" max="4" width="9.33203125" style="4" customWidth="1"/>
    <col min="5" max="5" width="10.33203125" style="4" customWidth="1"/>
    <col min="6" max="10" width="9.33203125" style="4" customWidth="1"/>
    <col min="11" max="13" width="8.83203125" style="4"/>
    <col min="14" max="14" width="18.5" style="4" customWidth="1"/>
    <col min="15" max="45" width="8.83203125" style="4"/>
    <col min="46" max="46" width="8.83203125" style="6"/>
    <col min="47" max="16384" width="8.83203125" style="1"/>
  </cols>
  <sheetData>
    <row r="1" spans="1:46" ht="19" x14ac:dyDescent="0.25">
      <c r="A1" s="5"/>
    </row>
    <row r="3" spans="1:46" x14ac:dyDescent="0.2">
      <c r="A3" s="8" t="s">
        <v>0</v>
      </c>
      <c r="B3" s="9"/>
      <c r="C3" s="9"/>
    </row>
    <row r="4" spans="1:46" x14ac:dyDescent="0.2">
      <c r="A4" s="8"/>
      <c r="B4" s="9"/>
      <c r="C4" s="9"/>
    </row>
    <row r="5" spans="1:46" x14ac:dyDescent="0.2">
      <c r="B5" s="8" t="s">
        <v>21</v>
      </c>
      <c r="F5" s="9"/>
    </row>
    <row r="6" spans="1:46" x14ac:dyDescent="0.2">
      <c r="A6" s="10"/>
      <c r="C6" s="11" t="s">
        <v>20</v>
      </c>
      <c r="D6" s="25"/>
      <c r="E6" s="25"/>
      <c r="F6" s="25"/>
      <c r="G6" s="26"/>
      <c r="H6" s="26"/>
      <c r="I6" s="26"/>
    </row>
    <row r="7" spans="1:46" x14ac:dyDescent="0.2">
      <c r="B7" s="10"/>
      <c r="C7" s="26">
        <v>1</v>
      </c>
      <c r="D7" s="26">
        <v>2</v>
      </c>
      <c r="E7" s="26">
        <v>3</v>
      </c>
      <c r="F7" s="26">
        <v>4</v>
      </c>
      <c r="G7" s="26">
        <v>5</v>
      </c>
      <c r="H7" s="26">
        <v>6</v>
      </c>
      <c r="I7" s="26">
        <v>7</v>
      </c>
      <c r="J7" s="26">
        <v>8</v>
      </c>
    </row>
    <row r="8" spans="1:46" s="2" customFormat="1" ht="16" x14ac:dyDescent="0.2">
      <c r="A8" s="13"/>
      <c r="B8" s="14" t="s">
        <v>1</v>
      </c>
      <c r="C8" s="27" t="s">
        <v>12</v>
      </c>
      <c r="D8" s="27" t="s">
        <v>13</v>
      </c>
      <c r="E8" s="27" t="s">
        <v>14</v>
      </c>
      <c r="F8" s="27" t="s">
        <v>15</v>
      </c>
      <c r="G8" s="27" t="s">
        <v>16</v>
      </c>
      <c r="H8" s="27" t="s">
        <v>17</v>
      </c>
      <c r="I8" s="27" t="s">
        <v>18</v>
      </c>
      <c r="J8" s="27" t="s">
        <v>19</v>
      </c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7"/>
    </row>
    <row r="9" spans="1:46" x14ac:dyDescent="0.2">
      <c r="A9" s="28">
        <v>1</v>
      </c>
      <c r="B9" s="4" t="s">
        <v>2</v>
      </c>
      <c r="C9" s="17">
        <v>4.3</v>
      </c>
      <c r="D9" s="18"/>
      <c r="E9" s="18"/>
      <c r="F9" s="18"/>
      <c r="G9" s="18"/>
      <c r="H9" s="18">
        <v>3.6</v>
      </c>
      <c r="I9" s="18"/>
      <c r="J9" s="19">
        <v>3</v>
      </c>
    </row>
    <row r="10" spans="1:46" x14ac:dyDescent="0.2">
      <c r="A10" s="28">
        <v>2</v>
      </c>
      <c r="B10" s="4" t="s">
        <v>3</v>
      </c>
      <c r="C10" s="20">
        <v>3.8</v>
      </c>
      <c r="D10" s="3"/>
      <c r="E10" s="3"/>
      <c r="F10" s="3">
        <v>3.7</v>
      </c>
      <c r="G10" s="3"/>
      <c r="H10" s="3"/>
      <c r="I10" s="3">
        <v>3.2</v>
      </c>
      <c r="J10" s="21"/>
    </row>
    <row r="11" spans="1:46" x14ac:dyDescent="0.2">
      <c r="A11" s="28">
        <v>3</v>
      </c>
      <c r="B11" s="4" t="s">
        <v>4</v>
      </c>
      <c r="C11" s="20">
        <v>3.5</v>
      </c>
      <c r="D11" s="3">
        <v>3.5</v>
      </c>
      <c r="E11" s="3"/>
      <c r="F11" s="3"/>
      <c r="G11" s="3"/>
      <c r="H11" s="3"/>
      <c r="I11" s="3"/>
      <c r="J11" s="21">
        <v>3.5</v>
      </c>
    </row>
    <row r="12" spans="1:46" x14ac:dyDescent="0.2">
      <c r="A12" s="28">
        <v>4</v>
      </c>
      <c r="B12" s="4" t="s">
        <v>5</v>
      </c>
      <c r="C12" s="20"/>
      <c r="D12" s="3"/>
      <c r="E12" s="3"/>
      <c r="F12" s="3"/>
      <c r="G12" s="3">
        <v>3</v>
      </c>
      <c r="H12" s="3"/>
      <c r="I12" s="3"/>
      <c r="J12" s="21"/>
    </row>
    <row r="13" spans="1:46" x14ac:dyDescent="0.2">
      <c r="A13" s="28">
        <v>5</v>
      </c>
      <c r="B13" s="4" t="s">
        <v>6</v>
      </c>
      <c r="C13" s="20">
        <v>3.5</v>
      </c>
      <c r="D13" s="3"/>
      <c r="E13" s="3"/>
      <c r="F13" s="3"/>
      <c r="G13" s="3"/>
      <c r="H13" s="3"/>
      <c r="I13" s="3"/>
      <c r="J13" s="21"/>
    </row>
    <row r="14" spans="1:46" ht="32" x14ac:dyDescent="0.2">
      <c r="A14" s="28">
        <v>6</v>
      </c>
      <c r="B14" s="13" t="s">
        <v>7</v>
      </c>
      <c r="C14" s="20"/>
      <c r="D14" s="3"/>
      <c r="E14" s="3"/>
      <c r="F14" s="3"/>
      <c r="G14" s="3"/>
      <c r="H14" s="3">
        <v>3.9</v>
      </c>
      <c r="I14" s="3"/>
      <c r="J14" s="21"/>
    </row>
    <row r="15" spans="1:46" ht="32" x14ac:dyDescent="0.2">
      <c r="A15" s="28">
        <v>7</v>
      </c>
      <c r="B15" s="13" t="s">
        <v>8</v>
      </c>
      <c r="C15" s="20">
        <v>4.5999999999999996</v>
      </c>
      <c r="D15" s="3"/>
      <c r="E15" s="3"/>
      <c r="F15" s="3"/>
      <c r="G15" s="3">
        <v>3.7</v>
      </c>
      <c r="H15" s="3"/>
      <c r="I15" s="3"/>
      <c r="J15" s="21"/>
    </row>
    <row r="16" spans="1:46" x14ac:dyDescent="0.2">
      <c r="A16" s="28">
        <v>8</v>
      </c>
      <c r="B16" s="4" t="s">
        <v>11</v>
      </c>
      <c r="C16" s="20"/>
      <c r="D16" s="3"/>
      <c r="E16" s="3">
        <v>4.4000000000000004</v>
      </c>
      <c r="F16" s="3">
        <v>3.5</v>
      </c>
      <c r="G16" s="3"/>
      <c r="H16" s="3"/>
      <c r="I16" s="12"/>
      <c r="J16" s="21"/>
    </row>
    <row r="17" spans="1:46" ht="32" x14ac:dyDescent="0.2">
      <c r="A17" s="28">
        <v>9</v>
      </c>
      <c r="B17" s="13" t="s">
        <v>9</v>
      </c>
      <c r="C17" s="20">
        <v>2.7</v>
      </c>
      <c r="D17" s="3">
        <v>3.3</v>
      </c>
      <c r="E17" s="3"/>
      <c r="F17" s="3"/>
      <c r="G17" s="3"/>
      <c r="H17" s="3"/>
      <c r="I17" s="3">
        <v>3.4</v>
      </c>
      <c r="J17" s="21"/>
    </row>
    <row r="18" spans="1:46" x14ac:dyDescent="0.2">
      <c r="A18" s="28">
        <v>10</v>
      </c>
      <c r="B18" s="4" t="s">
        <v>10</v>
      </c>
      <c r="C18" s="22"/>
      <c r="D18" s="23"/>
      <c r="E18" s="23">
        <v>3.1</v>
      </c>
      <c r="F18" s="23"/>
      <c r="G18" s="23"/>
      <c r="H18" s="23"/>
      <c r="I18" s="23"/>
      <c r="J18" s="24"/>
    </row>
    <row r="19" spans="1:46" x14ac:dyDescent="0.2">
      <c r="C19" s="15"/>
    </row>
    <row r="20" spans="1:46" x14ac:dyDescent="0.2">
      <c r="A20" s="16"/>
    </row>
    <row r="21" spans="1:46" x14ac:dyDescent="0.2">
      <c r="A21" s="16"/>
    </row>
    <row r="22" spans="1:46" x14ac:dyDescent="0.2">
      <c r="B22" s="10"/>
      <c r="C22" s="26">
        <v>1</v>
      </c>
      <c r="D22" s="26">
        <v>2</v>
      </c>
      <c r="E22" s="26">
        <v>3</v>
      </c>
      <c r="F22" s="26">
        <v>4</v>
      </c>
      <c r="G22" s="26">
        <v>5</v>
      </c>
      <c r="H22" s="26">
        <v>6</v>
      </c>
      <c r="I22" s="26">
        <v>7</v>
      </c>
      <c r="J22" s="26">
        <v>8</v>
      </c>
    </row>
    <row r="23" spans="1:46" ht="16" x14ac:dyDescent="0.2">
      <c r="A23" s="13"/>
      <c r="B23" s="14" t="s">
        <v>1</v>
      </c>
      <c r="C23" s="27" t="s">
        <v>12</v>
      </c>
      <c r="D23" s="27" t="s">
        <v>13</v>
      </c>
      <c r="E23" s="27" t="s">
        <v>14</v>
      </c>
      <c r="F23" s="27" t="s">
        <v>15</v>
      </c>
      <c r="G23" s="27" t="s">
        <v>16</v>
      </c>
      <c r="H23" s="27" t="s">
        <v>17</v>
      </c>
      <c r="I23" s="27" t="s">
        <v>18</v>
      </c>
      <c r="J23" s="27" t="s">
        <v>19</v>
      </c>
    </row>
    <row r="24" spans="1:46" x14ac:dyDescent="0.2">
      <c r="A24" s="28">
        <v>1</v>
      </c>
      <c r="B24" s="4" t="s">
        <v>2</v>
      </c>
      <c r="C24" s="46">
        <v>1</v>
      </c>
      <c r="D24" s="46">
        <v>0</v>
      </c>
      <c r="E24" s="46">
        <v>0</v>
      </c>
      <c r="F24" s="46">
        <v>0</v>
      </c>
      <c r="G24" s="46">
        <v>0</v>
      </c>
      <c r="H24" s="46">
        <v>0</v>
      </c>
      <c r="I24" s="46">
        <v>0</v>
      </c>
      <c r="J24" s="46">
        <v>0</v>
      </c>
      <c r="K24" s="51">
        <f>SUM(C24:J24)</f>
        <v>1</v>
      </c>
      <c r="L24" s="50"/>
    </row>
    <row r="25" spans="1:46" x14ac:dyDescent="0.2">
      <c r="A25" s="28">
        <v>2</v>
      </c>
      <c r="B25" s="4" t="s">
        <v>3</v>
      </c>
      <c r="C25" s="46">
        <v>0</v>
      </c>
      <c r="D25" s="46">
        <v>0</v>
      </c>
      <c r="E25" s="46">
        <v>0</v>
      </c>
      <c r="F25" s="46">
        <v>0</v>
      </c>
      <c r="G25" s="46">
        <v>0</v>
      </c>
      <c r="H25" s="46">
        <v>0</v>
      </c>
      <c r="I25" s="46">
        <v>0</v>
      </c>
      <c r="J25" s="46">
        <v>0</v>
      </c>
      <c r="K25" s="51">
        <f t="shared" ref="K25:K33" si="0">SUM(C25:J25)</f>
        <v>0</v>
      </c>
      <c r="L25" s="50"/>
      <c r="AK25" s="6"/>
      <c r="AL25" s="1"/>
      <c r="AM25" s="1"/>
      <c r="AN25" s="1"/>
      <c r="AO25" s="1"/>
      <c r="AP25" s="1"/>
      <c r="AQ25" s="1"/>
      <c r="AR25" s="1"/>
      <c r="AS25" s="1"/>
      <c r="AT25" s="1"/>
    </row>
    <row r="26" spans="1:46" x14ac:dyDescent="0.2">
      <c r="A26" s="28">
        <v>3</v>
      </c>
      <c r="B26" s="4" t="s">
        <v>4</v>
      </c>
      <c r="C26" s="46">
        <v>0</v>
      </c>
      <c r="D26" s="46">
        <v>1</v>
      </c>
      <c r="E26" s="46">
        <v>0</v>
      </c>
      <c r="F26" s="46">
        <v>0</v>
      </c>
      <c r="G26" s="46">
        <v>0</v>
      </c>
      <c r="H26" s="46">
        <v>0</v>
      </c>
      <c r="I26" s="46">
        <v>0</v>
      </c>
      <c r="J26" s="46">
        <v>0</v>
      </c>
      <c r="K26" s="51">
        <f t="shared" si="0"/>
        <v>1</v>
      </c>
      <c r="L26" s="50"/>
      <c r="AK26" s="6"/>
      <c r="AL26" s="1"/>
      <c r="AM26" s="1"/>
      <c r="AN26" s="1"/>
      <c r="AO26" s="1"/>
      <c r="AP26" s="1"/>
      <c r="AQ26" s="1"/>
      <c r="AR26" s="1"/>
      <c r="AS26" s="1"/>
      <c r="AT26" s="1"/>
    </row>
    <row r="27" spans="1:46" x14ac:dyDescent="0.2">
      <c r="A27" s="28">
        <v>4</v>
      </c>
      <c r="B27" s="4" t="s">
        <v>5</v>
      </c>
      <c r="C27" s="46">
        <v>0</v>
      </c>
      <c r="D27" s="46">
        <v>0</v>
      </c>
      <c r="E27" s="46">
        <v>0</v>
      </c>
      <c r="F27" s="46">
        <v>0</v>
      </c>
      <c r="G27" s="46">
        <v>0</v>
      </c>
      <c r="H27" s="46">
        <v>0</v>
      </c>
      <c r="I27" s="46">
        <v>0</v>
      </c>
      <c r="J27" s="46">
        <v>0</v>
      </c>
      <c r="K27" s="51">
        <f t="shared" si="0"/>
        <v>0</v>
      </c>
      <c r="L27" s="50"/>
      <c r="N27" s="53" t="s">
        <v>51</v>
      </c>
      <c r="O27" s="4">
        <f>SUM(E31,E33,F31,F25)</f>
        <v>1</v>
      </c>
      <c r="AK27" s="6"/>
      <c r="AL27" s="1"/>
      <c r="AM27" s="1"/>
      <c r="AN27" s="1"/>
      <c r="AO27" s="1"/>
      <c r="AP27" s="1"/>
      <c r="AQ27" s="1"/>
      <c r="AR27" s="1"/>
      <c r="AS27" s="1"/>
      <c r="AT27" s="1"/>
    </row>
    <row r="28" spans="1:46" x14ac:dyDescent="0.2">
      <c r="A28" s="28">
        <v>5</v>
      </c>
      <c r="B28" s="4" t="s">
        <v>6</v>
      </c>
      <c r="C28" s="46">
        <v>0</v>
      </c>
      <c r="D28" s="46">
        <v>0</v>
      </c>
      <c r="E28" s="46">
        <v>0</v>
      </c>
      <c r="F28" s="46">
        <v>0</v>
      </c>
      <c r="G28" s="46">
        <v>0</v>
      </c>
      <c r="H28" s="46">
        <v>0</v>
      </c>
      <c r="I28" s="46">
        <v>0</v>
      </c>
      <c r="J28" s="46">
        <v>0</v>
      </c>
      <c r="K28" s="51">
        <f t="shared" si="0"/>
        <v>0</v>
      </c>
      <c r="L28" s="50"/>
      <c r="N28" s="53" t="s">
        <v>52</v>
      </c>
      <c r="O28" s="4">
        <f>SUM(G27,G30,H24,H29,I25,I32,J24,J26)</f>
        <v>2</v>
      </c>
      <c r="AK28" s="6"/>
      <c r="AL28" s="1"/>
      <c r="AM28" s="1"/>
      <c r="AN28" s="1"/>
      <c r="AO28" s="1"/>
      <c r="AP28" s="1"/>
      <c r="AQ28" s="1"/>
      <c r="AR28" s="1"/>
      <c r="AS28" s="1"/>
      <c r="AT28" s="1"/>
    </row>
    <row r="29" spans="1:46" ht="32" x14ac:dyDescent="0.2">
      <c r="A29" s="28">
        <v>6</v>
      </c>
      <c r="B29" s="13" t="s">
        <v>7</v>
      </c>
      <c r="C29" s="46">
        <v>0</v>
      </c>
      <c r="D29" s="46">
        <v>0</v>
      </c>
      <c r="E29" s="46">
        <v>0</v>
      </c>
      <c r="F29" s="46">
        <v>0</v>
      </c>
      <c r="G29" s="46">
        <v>0</v>
      </c>
      <c r="H29" s="46">
        <v>1</v>
      </c>
      <c r="I29" s="46">
        <v>0</v>
      </c>
      <c r="J29" s="46">
        <v>0</v>
      </c>
      <c r="K29" s="51">
        <f t="shared" si="0"/>
        <v>1</v>
      </c>
      <c r="L29" s="50"/>
      <c r="N29" s="53" t="s">
        <v>53</v>
      </c>
      <c r="O29" s="4">
        <f>SUM(C29:J29,C30:J30)</f>
        <v>1</v>
      </c>
      <c r="AK29" s="6"/>
      <c r="AL29" s="1"/>
      <c r="AM29" s="1"/>
      <c r="AN29" s="1"/>
      <c r="AO29" s="1"/>
      <c r="AP29" s="1"/>
      <c r="AQ29" s="1"/>
      <c r="AR29" s="1"/>
      <c r="AS29" s="1"/>
      <c r="AT29" s="1"/>
    </row>
    <row r="30" spans="1:46" ht="32" x14ac:dyDescent="0.2">
      <c r="A30" s="28">
        <v>7</v>
      </c>
      <c r="B30" s="13" t="s">
        <v>8</v>
      </c>
      <c r="C30" s="46">
        <v>0</v>
      </c>
      <c r="D30" s="46">
        <v>0</v>
      </c>
      <c r="E30" s="46">
        <v>0</v>
      </c>
      <c r="F30" s="46">
        <v>0</v>
      </c>
      <c r="G30" s="46">
        <v>0</v>
      </c>
      <c r="H30" s="46">
        <v>0</v>
      </c>
      <c r="I30" s="46">
        <v>0</v>
      </c>
      <c r="J30" s="46">
        <v>0</v>
      </c>
      <c r="K30" s="51">
        <f t="shared" si="0"/>
        <v>0</v>
      </c>
      <c r="L30" s="50"/>
      <c r="N30" s="53" t="s">
        <v>54</v>
      </c>
      <c r="O30" s="4">
        <f>SUM(C30:J30,C31:J31)</f>
        <v>1</v>
      </c>
      <c r="AK30" s="6"/>
      <c r="AL30" s="1"/>
      <c r="AM30" s="1"/>
      <c r="AN30" s="1"/>
      <c r="AO30" s="1"/>
      <c r="AP30" s="1"/>
      <c r="AQ30" s="1"/>
      <c r="AR30" s="1"/>
      <c r="AS30" s="1"/>
      <c r="AT30" s="1"/>
    </row>
    <row r="31" spans="1:46" x14ac:dyDescent="0.2">
      <c r="A31" s="28">
        <v>8</v>
      </c>
      <c r="B31" s="4" t="s">
        <v>11</v>
      </c>
      <c r="C31" s="46">
        <v>0</v>
      </c>
      <c r="D31" s="46">
        <v>0</v>
      </c>
      <c r="E31" s="46">
        <v>1</v>
      </c>
      <c r="F31" s="46">
        <v>0</v>
      </c>
      <c r="G31" s="46">
        <v>0</v>
      </c>
      <c r="H31" s="46">
        <v>0</v>
      </c>
      <c r="I31" s="47">
        <v>0</v>
      </c>
      <c r="J31" s="46">
        <v>0</v>
      </c>
      <c r="K31" s="51">
        <f t="shared" si="0"/>
        <v>1</v>
      </c>
      <c r="L31" s="50"/>
      <c r="AK31" s="6"/>
      <c r="AL31" s="1"/>
      <c r="AM31" s="1"/>
      <c r="AN31" s="1"/>
      <c r="AO31" s="1"/>
      <c r="AP31" s="1"/>
      <c r="AQ31" s="1"/>
      <c r="AR31" s="1"/>
      <c r="AS31" s="1"/>
      <c r="AT31" s="1"/>
    </row>
    <row r="32" spans="1:46" ht="32" x14ac:dyDescent="0.2">
      <c r="A32" s="28">
        <v>9</v>
      </c>
      <c r="B32" s="13" t="s">
        <v>9</v>
      </c>
      <c r="C32" s="46">
        <v>0</v>
      </c>
      <c r="D32" s="46">
        <v>0</v>
      </c>
      <c r="E32" s="46">
        <v>0</v>
      </c>
      <c r="F32" s="46">
        <v>0</v>
      </c>
      <c r="G32" s="46">
        <v>0</v>
      </c>
      <c r="H32" s="46">
        <v>0</v>
      </c>
      <c r="I32" s="46">
        <v>1</v>
      </c>
      <c r="J32" s="46">
        <v>0</v>
      </c>
      <c r="K32" s="51">
        <f t="shared" si="0"/>
        <v>1</v>
      </c>
      <c r="L32" s="50"/>
      <c r="AK32" s="6"/>
      <c r="AL32" s="1"/>
      <c r="AM32" s="1"/>
      <c r="AN32" s="1"/>
      <c r="AO32" s="1"/>
      <c r="AP32" s="1"/>
      <c r="AQ32" s="1"/>
      <c r="AR32" s="1"/>
      <c r="AS32" s="1"/>
      <c r="AT32" s="1"/>
    </row>
    <row r="33" spans="1:49" x14ac:dyDescent="0.2">
      <c r="A33" s="28">
        <v>10</v>
      </c>
      <c r="B33" s="4" t="s">
        <v>10</v>
      </c>
      <c r="C33" s="46">
        <v>0</v>
      </c>
      <c r="D33" s="46">
        <v>0</v>
      </c>
      <c r="E33" s="46">
        <v>0</v>
      </c>
      <c r="F33" s="46">
        <v>0</v>
      </c>
      <c r="G33" s="46">
        <v>0</v>
      </c>
      <c r="H33" s="46">
        <v>0</v>
      </c>
      <c r="I33" s="46">
        <v>0</v>
      </c>
      <c r="J33" s="46">
        <v>0</v>
      </c>
      <c r="K33" s="51">
        <f t="shared" si="0"/>
        <v>0</v>
      </c>
      <c r="L33" s="50"/>
      <c r="AK33" s="6"/>
      <c r="AL33" s="1"/>
      <c r="AM33" s="1"/>
      <c r="AN33" s="1"/>
      <c r="AO33" s="1"/>
      <c r="AP33" s="1"/>
      <c r="AQ33" s="1"/>
      <c r="AR33" s="1"/>
      <c r="AS33" s="1"/>
      <c r="AT33" s="1"/>
    </row>
    <row r="34" spans="1:49" x14ac:dyDescent="0.2">
      <c r="A34" s="28"/>
      <c r="B34" s="13"/>
      <c r="C34" s="52">
        <f>SUM(C24:C33)</f>
        <v>1</v>
      </c>
      <c r="D34" s="52">
        <f>SUM(D24:D33)</f>
        <v>1</v>
      </c>
      <c r="E34" s="52">
        <f t="shared" ref="D34:J34" si="1">SUM(E24:E33)</f>
        <v>1</v>
      </c>
      <c r="F34" s="52">
        <f t="shared" si="1"/>
        <v>0</v>
      </c>
      <c r="G34" s="52">
        <f>SUM(G24:G33)</f>
        <v>0</v>
      </c>
      <c r="H34" s="52">
        <f t="shared" si="1"/>
        <v>1</v>
      </c>
      <c r="I34" s="52">
        <f t="shared" si="1"/>
        <v>1</v>
      </c>
      <c r="J34" s="52">
        <f t="shared" si="1"/>
        <v>0</v>
      </c>
      <c r="AK34" s="6"/>
      <c r="AL34" s="1"/>
      <c r="AM34" s="1"/>
      <c r="AN34" s="1"/>
      <c r="AO34" s="1"/>
      <c r="AP34" s="1"/>
      <c r="AQ34" s="1"/>
      <c r="AR34" s="1"/>
      <c r="AS34" s="1"/>
      <c r="AT34" s="1"/>
    </row>
    <row r="35" spans="1:49" x14ac:dyDescent="0.2">
      <c r="A35" s="28"/>
      <c r="AK35" s="6"/>
      <c r="AL35" s="1"/>
      <c r="AM35" s="1"/>
      <c r="AN35" s="1"/>
      <c r="AO35" s="1"/>
      <c r="AP35" s="1"/>
      <c r="AQ35" s="1"/>
      <c r="AR35" s="1"/>
      <c r="AS35" s="1"/>
      <c r="AT35" s="1"/>
    </row>
    <row r="36" spans="1:49" x14ac:dyDescent="0.2">
      <c r="A36" s="16"/>
      <c r="AK36" s="6"/>
      <c r="AL36" s="1"/>
      <c r="AM36" s="1"/>
      <c r="AN36" s="1"/>
      <c r="AO36" s="1"/>
      <c r="AP36" s="1"/>
      <c r="AQ36" s="1"/>
      <c r="AR36" s="1"/>
      <c r="AS36" s="1"/>
      <c r="AT36" s="1"/>
    </row>
    <row r="37" spans="1:49" x14ac:dyDescent="0.2">
      <c r="B37" s="49"/>
      <c r="C37" s="50"/>
    </row>
    <row r="38" spans="1:49" s="4" customFormat="1" x14ac:dyDescent="0.2">
      <c r="AT38" s="6"/>
      <c r="AU38" s="1"/>
      <c r="AV38" s="1"/>
      <c r="AW38" s="1"/>
    </row>
    <row r="41" spans="1:49" x14ac:dyDescent="0.2">
      <c r="B41" s="16" t="s">
        <v>50</v>
      </c>
      <c r="C41" s="48">
        <f>SUMPRODUCT(C9:J18,C24:J33)</f>
        <v>19.5</v>
      </c>
    </row>
  </sheetData>
  <conditionalFormatting sqref="C9:J18">
    <cfRule type="cellIs" dxfId="1" priority="2" operator="greaterThan">
      <formula>0</formula>
    </cfRule>
  </conditionalFormatting>
  <conditionalFormatting sqref="C24:J33">
    <cfRule type="cellIs" dxfId="0" priority="1" operator="greaterThan">
      <formula>0</formula>
    </cfRule>
  </conditionalFormatting>
  <printOptions horizontalCentered="1" headings="1" gridLines="1"/>
  <pageMargins left="0.5" right="0.5" top="0.8" bottom="0.56000000000000005" header="0.41" footer="0.3"/>
  <pageSetup scale="54" orientation="landscape" cellComments="asDisplayed" r:id="rId1"/>
  <headerFooter alignWithMargins="0">
    <oddHeader>&amp;F</oddHeader>
    <oddFooter>&amp;A</oddFooter>
  </headerFooter>
  <legacyDrawing r:id="rId2"/>
  <extLst>
    <ext xmlns:x15="http://schemas.microsoft.com/office/spreadsheetml/2010/11/main" uri="{F7C9EE02-42E1-4005-9D12-6889AFFD525C}">
      <x15:webExtensions xmlns:xm="http://schemas.microsoft.com/office/excel/2006/main">
        <x15:webExtension appRef="{952A569A-1244-1543-8E0B-ACBE21F01E6B}">
          <xm:f>#REF!</xm:f>
        </x15:webExtension>
        <x15:webExtension appRef="{8C463D25-C382-D54A-98F3-9A5863C13A5E}">
          <xm:f>#REF!</xm:f>
        </x15:webExtension>
        <x15:webExtension appRef="{7E57DBEB-2EC3-9646-ADBE-9523AB2F73CE}">
          <xm:f>#REF!</xm:f>
        </x15:webExtension>
      </x15:webExtens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BF677-D660-9E40-B45A-5A9AFCD351F3}">
  <dimension ref="A2:G22"/>
  <sheetViews>
    <sheetView zoomScale="140" workbookViewId="0">
      <selection activeCell="G17" sqref="G17"/>
    </sheetView>
  </sheetViews>
  <sheetFormatPr baseColWidth="10" defaultRowHeight="13" x14ac:dyDescent="0.15"/>
  <cols>
    <col min="1" max="1" width="32.33203125" customWidth="1"/>
    <col min="6" max="6" width="12.33203125" customWidth="1"/>
    <col min="7" max="7" width="38.5" customWidth="1"/>
  </cols>
  <sheetData>
    <row r="2" spans="1:7" x14ac:dyDescent="0.15">
      <c r="A2" s="30"/>
      <c r="B2" s="29" t="s">
        <v>22</v>
      </c>
      <c r="C2" s="29" t="s">
        <v>23</v>
      </c>
      <c r="D2" s="29" t="s">
        <v>24</v>
      </c>
      <c r="F2" s="29" t="s">
        <v>23</v>
      </c>
      <c r="G2" s="29"/>
    </row>
    <row r="3" spans="1:7" x14ac:dyDescent="0.15">
      <c r="A3" s="31" t="s">
        <v>25</v>
      </c>
      <c r="B3" s="31" t="s">
        <v>26</v>
      </c>
      <c r="C3" s="32">
        <v>1</v>
      </c>
      <c r="D3" s="31">
        <v>4.3</v>
      </c>
      <c r="F3" s="44">
        <v>1</v>
      </c>
      <c r="G3" s="31" t="s">
        <v>46</v>
      </c>
    </row>
    <row r="4" spans="1:7" x14ac:dyDescent="0.15">
      <c r="A4" s="31" t="s">
        <v>25</v>
      </c>
      <c r="B4" s="31" t="s">
        <v>26</v>
      </c>
      <c r="C4" s="33">
        <v>2</v>
      </c>
      <c r="D4" s="31">
        <v>3.8</v>
      </c>
      <c r="F4" s="44">
        <v>2</v>
      </c>
      <c r="G4" s="31" t="s">
        <v>40</v>
      </c>
    </row>
    <row r="5" spans="1:7" x14ac:dyDescent="0.15">
      <c r="A5" s="31" t="s">
        <v>25</v>
      </c>
      <c r="B5" s="31" t="s">
        <v>26</v>
      </c>
      <c r="C5" s="34">
        <v>3</v>
      </c>
      <c r="D5" s="31">
        <v>3.5</v>
      </c>
      <c r="F5" s="44">
        <v>3</v>
      </c>
      <c r="G5" s="31" t="s">
        <v>47</v>
      </c>
    </row>
    <row r="6" spans="1:7" x14ac:dyDescent="0.15">
      <c r="A6" s="31" t="s">
        <v>25</v>
      </c>
      <c r="B6" s="31" t="s">
        <v>26</v>
      </c>
      <c r="C6" s="35">
        <v>5</v>
      </c>
      <c r="D6" s="31">
        <v>3.5</v>
      </c>
      <c r="F6" s="44">
        <v>4</v>
      </c>
      <c r="G6" s="45" t="s">
        <v>48</v>
      </c>
    </row>
    <row r="7" spans="1:7" x14ac:dyDescent="0.15">
      <c r="A7" s="31" t="s">
        <v>25</v>
      </c>
      <c r="B7" s="31" t="s">
        <v>26</v>
      </c>
      <c r="C7" s="36">
        <v>7</v>
      </c>
      <c r="D7" s="31">
        <v>4.5999999999999996</v>
      </c>
      <c r="F7" s="44">
        <v>5</v>
      </c>
      <c r="G7" s="45" t="s">
        <v>49</v>
      </c>
    </row>
    <row r="8" spans="1:7" x14ac:dyDescent="0.15">
      <c r="A8" s="31" t="s">
        <v>25</v>
      </c>
      <c r="B8" s="31" t="s">
        <v>26</v>
      </c>
      <c r="C8" s="37">
        <v>9</v>
      </c>
      <c r="D8" s="31">
        <v>2.7</v>
      </c>
      <c r="F8" s="44">
        <v>6</v>
      </c>
      <c r="G8" s="45" t="s">
        <v>41</v>
      </c>
    </row>
    <row r="9" spans="1:7" x14ac:dyDescent="0.15">
      <c r="A9" s="31" t="s">
        <v>33</v>
      </c>
      <c r="B9" s="31" t="s">
        <v>13</v>
      </c>
      <c r="C9" s="34">
        <v>3</v>
      </c>
      <c r="D9" s="31">
        <v>3.5</v>
      </c>
      <c r="F9" s="44">
        <v>7</v>
      </c>
      <c r="G9" s="45" t="s">
        <v>42</v>
      </c>
    </row>
    <row r="10" spans="1:7" x14ac:dyDescent="0.15">
      <c r="A10" s="31" t="s">
        <v>33</v>
      </c>
      <c r="B10" s="31" t="s">
        <v>13</v>
      </c>
      <c r="C10" s="37">
        <v>9</v>
      </c>
      <c r="D10" s="31">
        <v>3.3</v>
      </c>
      <c r="F10" s="44">
        <v>8</v>
      </c>
      <c r="G10" s="45" t="s">
        <v>43</v>
      </c>
    </row>
    <row r="11" spans="1:7" x14ac:dyDescent="0.15">
      <c r="A11" s="31" t="s">
        <v>34</v>
      </c>
      <c r="B11" s="31" t="s">
        <v>27</v>
      </c>
      <c r="C11" s="38">
        <v>8</v>
      </c>
      <c r="D11" s="31">
        <v>4.4000000000000004</v>
      </c>
      <c r="F11" s="44">
        <v>9</v>
      </c>
      <c r="G11" s="45" t="s">
        <v>44</v>
      </c>
    </row>
    <row r="12" spans="1:7" x14ac:dyDescent="0.15">
      <c r="A12" s="31" t="s">
        <v>34</v>
      </c>
      <c r="B12" s="31" t="s">
        <v>27</v>
      </c>
      <c r="C12" s="39">
        <v>10</v>
      </c>
      <c r="D12" s="31">
        <v>3.1</v>
      </c>
      <c r="F12" s="44">
        <v>10</v>
      </c>
      <c r="G12" s="45" t="s">
        <v>45</v>
      </c>
    </row>
    <row r="13" spans="1:7" x14ac:dyDescent="0.15">
      <c r="A13" s="31" t="s">
        <v>35</v>
      </c>
      <c r="B13" s="31" t="s">
        <v>28</v>
      </c>
      <c r="C13" s="33">
        <v>2</v>
      </c>
      <c r="D13" s="31">
        <v>3.7</v>
      </c>
    </row>
    <row r="14" spans="1:7" x14ac:dyDescent="0.15">
      <c r="A14" s="31" t="s">
        <v>35</v>
      </c>
      <c r="B14" s="31" t="s">
        <v>28</v>
      </c>
      <c r="C14" s="40">
        <v>8</v>
      </c>
      <c r="D14" s="31">
        <v>3.5</v>
      </c>
    </row>
    <row r="15" spans="1:7" x14ac:dyDescent="0.15">
      <c r="A15" s="31" t="s">
        <v>36</v>
      </c>
      <c r="B15" s="31" t="s">
        <v>29</v>
      </c>
      <c r="C15" s="41">
        <v>4</v>
      </c>
      <c r="D15" s="31">
        <v>3</v>
      </c>
    </row>
    <row r="16" spans="1:7" x14ac:dyDescent="0.15">
      <c r="A16" s="31" t="s">
        <v>36</v>
      </c>
      <c r="B16" s="31" t="s">
        <v>29</v>
      </c>
      <c r="C16" s="42">
        <v>7</v>
      </c>
      <c r="D16" s="31">
        <v>3.7</v>
      </c>
    </row>
    <row r="17" spans="1:4" x14ac:dyDescent="0.15">
      <c r="A17" s="31" t="s">
        <v>37</v>
      </c>
      <c r="B17" s="31" t="s">
        <v>30</v>
      </c>
      <c r="C17" s="32">
        <v>1</v>
      </c>
      <c r="D17" s="31">
        <v>3.6</v>
      </c>
    </row>
    <row r="18" spans="1:4" x14ac:dyDescent="0.15">
      <c r="A18" s="31" t="s">
        <v>37</v>
      </c>
      <c r="B18" s="31" t="s">
        <v>30</v>
      </c>
      <c r="C18" s="43">
        <v>6</v>
      </c>
      <c r="D18" s="31">
        <v>3.9</v>
      </c>
    </row>
    <row r="19" spans="1:4" x14ac:dyDescent="0.15">
      <c r="A19" s="31" t="s">
        <v>38</v>
      </c>
      <c r="B19" s="31" t="s">
        <v>31</v>
      </c>
      <c r="C19" s="33">
        <v>2</v>
      </c>
      <c r="D19" s="31">
        <v>3.2</v>
      </c>
    </row>
    <row r="20" spans="1:4" x14ac:dyDescent="0.15">
      <c r="A20" s="31" t="s">
        <v>38</v>
      </c>
      <c r="B20" s="31" t="s">
        <v>31</v>
      </c>
      <c r="C20" s="37">
        <v>9</v>
      </c>
      <c r="D20" s="31">
        <v>3.4</v>
      </c>
    </row>
    <row r="21" spans="1:4" x14ac:dyDescent="0.15">
      <c r="A21" s="31" t="s">
        <v>39</v>
      </c>
      <c r="B21" s="31" t="s">
        <v>32</v>
      </c>
      <c r="C21" s="32">
        <v>1</v>
      </c>
      <c r="D21" s="31">
        <v>3</v>
      </c>
    </row>
    <row r="22" spans="1:4" x14ac:dyDescent="0.15">
      <c r="A22" s="31" t="s">
        <v>39</v>
      </c>
      <c r="B22" s="31" t="s">
        <v>32</v>
      </c>
      <c r="C22" s="34">
        <v>3</v>
      </c>
      <c r="D22" s="31">
        <v>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file</vt:lpstr>
      <vt:lpstr>Input Data Handling</vt:lpstr>
    </vt:vector>
  </TitlesOfParts>
  <Company>Pace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Janice K. Winch</dc:creator>
  <cp:lastModifiedBy>Microsoft Office User</cp:lastModifiedBy>
  <cp:lastPrinted>2013-06-06T15:41:07Z</cp:lastPrinted>
  <dcterms:created xsi:type="dcterms:W3CDTF">2002-10-23T02:24:23Z</dcterms:created>
  <dcterms:modified xsi:type="dcterms:W3CDTF">2026-03-05T15:12:36Z</dcterms:modified>
</cp:coreProperties>
</file>