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usara/Desktop/ORO/Week 03/"/>
    </mc:Choice>
  </mc:AlternateContent>
  <xr:revisionPtr revIDLastSave="0" documentId="13_ncr:1_{A44678B3-DEDA-F246-97D3-C619C154BC04}" xr6:coauthVersionLast="47" xr6:coauthVersionMax="47" xr10:uidLastSave="{00000000-0000-0000-0000-000000000000}"/>
  <bookViews>
    <workbookView xWindow="380" yWindow="600" windowWidth="28040" windowHeight="16840" activeTab="1" xr2:uid="{552AF9B5-7DFB-0E4C-B90F-29E87F5107D7}"/>
  </bookViews>
  <sheets>
    <sheet name="Task 01" sheetId="1" r:id="rId1"/>
    <sheet name="Task 0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2" l="1"/>
  <c r="H4" i="2"/>
  <c r="G8" i="1"/>
  <c r="G11" i="1"/>
  <c r="H16" i="1"/>
  <c r="G10" i="1"/>
  <c r="G9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<sst xmlns="http://schemas.openxmlformats.org/spreadsheetml/2006/main" count="107" uniqueCount="25">
  <si>
    <t>R1</t>
  </si>
  <si>
    <t>R2</t>
  </si>
  <si>
    <t>A</t>
  </si>
  <si>
    <t>B</t>
  </si>
  <si>
    <t>C</t>
  </si>
  <si>
    <t>D</t>
  </si>
  <si>
    <t>E</t>
  </si>
  <si>
    <t>T</t>
  </si>
  <si>
    <t>From</t>
  </si>
  <si>
    <t>To</t>
  </si>
  <si>
    <t>capacity uij</t>
  </si>
  <si>
    <t>Flow xij</t>
  </si>
  <si>
    <t>Node</t>
  </si>
  <si>
    <t>Netflow</t>
  </si>
  <si>
    <t>supply/demand b</t>
  </si>
  <si>
    <t>=</t>
  </si>
  <si>
    <t>R3</t>
  </si>
  <si>
    <t>&gt;=</t>
  </si>
  <si>
    <t>F</t>
  </si>
  <si>
    <t xml:space="preserve">Total Flow </t>
  </si>
  <si>
    <t xml:space="preserve">Distance </t>
  </si>
  <si>
    <t>SELECT (FLOW 0/1)</t>
  </si>
  <si>
    <t>O</t>
  </si>
  <si>
    <t>V</t>
  </si>
  <si>
    <t>Total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</si>
</sst>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AEFA5-B5AB-F145-B89C-6D4E2FFC0530}">
  <dimension ref="A1:I18"/>
  <sheetViews>
    <sheetView zoomScale="180" zoomScaleNormal="180" workbookViewId="0">
      <selection sqref="A1:I1"/>
    </sheetView>
  </sheetViews>
  <sheetFormatPr baseColWidth="10" defaultRowHeight="16" x14ac:dyDescent="0.2"/>
  <sheetData>
    <row r="1" spans="1:9" x14ac:dyDescent="0.2">
      <c r="A1" t="s">
        <v>8</v>
      </c>
      <c r="B1" t="s">
        <v>9</v>
      </c>
      <c r="C1" t="s">
        <v>10</v>
      </c>
      <c r="D1" t="s">
        <v>17</v>
      </c>
      <c r="E1" t="s">
        <v>11</v>
      </c>
      <c r="F1" t="s">
        <v>12</v>
      </c>
      <c r="G1" t="s">
        <v>13</v>
      </c>
      <c r="H1" t="s">
        <v>15</v>
      </c>
      <c r="I1" t="s">
        <v>14</v>
      </c>
    </row>
    <row r="2" spans="1:9" x14ac:dyDescent="0.2">
      <c r="A2" t="s">
        <v>0</v>
      </c>
      <c r="B2" t="s">
        <v>2</v>
      </c>
      <c r="C2">
        <v>75</v>
      </c>
      <c r="E2" s="1"/>
      <c r="F2" t="s">
        <v>0</v>
      </c>
      <c r="G2" s="3">
        <f>SUM(E2:E3)</f>
        <v>0</v>
      </c>
    </row>
    <row r="3" spans="1:9" x14ac:dyDescent="0.2">
      <c r="A3" t="s">
        <v>0</v>
      </c>
      <c r="B3" t="s">
        <v>3</v>
      </c>
      <c r="C3">
        <v>65</v>
      </c>
      <c r="E3" s="1"/>
      <c r="F3" t="s">
        <v>1</v>
      </c>
      <c r="G3" s="3">
        <f>SUM(E4:E6)</f>
        <v>0</v>
      </c>
    </row>
    <row r="4" spans="1:9" x14ac:dyDescent="0.2">
      <c r="A4" t="s">
        <v>1</v>
      </c>
      <c r="B4" t="s">
        <v>2</v>
      </c>
      <c r="C4">
        <v>40</v>
      </c>
      <c r="E4" s="1"/>
      <c r="F4" t="s">
        <v>16</v>
      </c>
      <c r="G4" s="3">
        <f>SUM(E7:E8)</f>
        <v>0</v>
      </c>
    </row>
    <row r="5" spans="1:9" x14ac:dyDescent="0.2">
      <c r="A5" t="s">
        <v>1</v>
      </c>
      <c r="B5" t="s">
        <v>3</v>
      </c>
      <c r="C5">
        <v>50</v>
      </c>
      <c r="E5" s="1"/>
      <c r="F5" t="s">
        <v>2</v>
      </c>
      <c r="G5" s="3">
        <f>SUM(E9:E10)-SUM(E2,E4)</f>
        <v>0</v>
      </c>
    </row>
    <row r="6" spans="1:9" x14ac:dyDescent="0.2">
      <c r="A6" t="s">
        <v>1</v>
      </c>
      <c r="B6" t="s">
        <v>4</v>
      </c>
      <c r="C6">
        <v>60</v>
      </c>
      <c r="E6" s="1"/>
      <c r="F6" t="s">
        <v>3</v>
      </c>
      <c r="G6" s="3">
        <f>SUM(E11:E13)-SUM(E3,E5,E7)</f>
        <v>0</v>
      </c>
    </row>
    <row r="7" spans="1:9" x14ac:dyDescent="0.2">
      <c r="A7" t="s">
        <v>16</v>
      </c>
      <c r="B7" t="s">
        <v>3</v>
      </c>
      <c r="C7">
        <v>80</v>
      </c>
      <c r="E7" s="1"/>
      <c r="F7" t="s">
        <v>4</v>
      </c>
      <c r="G7" s="3">
        <f>SUM(E14:E15)-SUM(E6,E8)</f>
        <v>0</v>
      </c>
    </row>
    <row r="8" spans="1:9" x14ac:dyDescent="0.2">
      <c r="A8" t="s">
        <v>16</v>
      </c>
      <c r="B8" t="s">
        <v>4</v>
      </c>
      <c r="C8">
        <v>70</v>
      </c>
      <c r="E8" s="1"/>
      <c r="F8" t="s">
        <v>5</v>
      </c>
      <c r="G8" s="3">
        <f>SUM(E16)-SUM(E9,E11)</f>
        <v>0</v>
      </c>
    </row>
    <row r="9" spans="1:9" x14ac:dyDescent="0.2">
      <c r="A9" t="s">
        <v>2</v>
      </c>
      <c r="B9" t="s">
        <v>5</v>
      </c>
      <c r="C9">
        <v>60</v>
      </c>
      <c r="E9" s="1"/>
      <c r="F9" t="s">
        <v>6</v>
      </c>
      <c r="G9" s="3">
        <f>E17-SUM(E10,E12)</f>
        <v>0</v>
      </c>
    </row>
    <row r="10" spans="1:9" x14ac:dyDescent="0.2">
      <c r="A10" t="s">
        <v>2</v>
      </c>
      <c r="B10" t="s">
        <v>6</v>
      </c>
      <c r="C10">
        <v>45</v>
      </c>
      <c r="E10" s="1"/>
      <c r="F10" t="s">
        <v>18</v>
      </c>
      <c r="G10" s="3">
        <f>SUM(E18-SUM(E13,E15))</f>
        <v>0</v>
      </c>
    </row>
    <row r="11" spans="1:9" x14ac:dyDescent="0.2">
      <c r="A11" t="s">
        <v>3</v>
      </c>
      <c r="B11" t="s">
        <v>5</v>
      </c>
      <c r="C11">
        <v>70</v>
      </c>
      <c r="E11" s="1"/>
      <c r="F11" t="s">
        <v>7</v>
      </c>
      <c r="G11" s="3">
        <f xml:space="preserve"> -SUM(E16:E18)</f>
        <v>0</v>
      </c>
    </row>
    <row r="12" spans="1:9" x14ac:dyDescent="0.2">
      <c r="A12" t="s">
        <v>3</v>
      </c>
      <c r="B12" t="s">
        <v>6</v>
      </c>
      <c r="C12">
        <v>55</v>
      </c>
      <c r="E12" s="1"/>
    </row>
    <row r="13" spans="1:9" x14ac:dyDescent="0.2">
      <c r="A13" t="s">
        <v>3</v>
      </c>
      <c r="B13" t="s">
        <v>18</v>
      </c>
      <c r="C13">
        <v>45</v>
      </c>
      <c r="E13" s="1"/>
    </row>
    <row r="14" spans="1:9" x14ac:dyDescent="0.2">
      <c r="A14" t="s">
        <v>4</v>
      </c>
      <c r="B14" t="s">
        <v>6</v>
      </c>
      <c r="C14">
        <v>70</v>
      </c>
      <c r="E14" s="1"/>
    </row>
    <row r="15" spans="1:9" x14ac:dyDescent="0.2">
      <c r="A15" t="s">
        <v>4</v>
      </c>
      <c r="B15" t="s">
        <v>18</v>
      </c>
      <c r="C15">
        <v>90</v>
      </c>
      <c r="E15" s="1"/>
    </row>
    <row r="16" spans="1:9" x14ac:dyDescent="0.2">
      <c r="A16" t="s">
        <v>5</v>
      </c>
      <c r="B16" t="s">
        <v>7</v>
      </c>
      <c r="C16">
        <v>120</v>
      </c>
      <c r="E16" s="1"/>
      <c r="G16" t="s">
        <v>19</v>
      </c>
      <c r="H16" s="2">
        <f>SUM(E16:E18)</f>
        <v>0</v>
      </c>
    </row>
    <row r="17" spans="1:5" x14ac:dyDescent="0.2">
      <c r="A17" t="s">
        <v>6</v>
      </c>
      <c r="B17" t="s">
        <v>7</v>
      </c>
      <c r="C17">
        <v>190</v>
      </c>
      <c r="E17" s="1"/>
    </row>
    <row r="18" spans="1:5" x14ac:dyDescent="0.2">
      <c r="A18" t="s">
        <v>18</v>
      </c>
      <c r="B18" t="s">
        <v>7</v>
      </c>
      <c r="C18">
        <v>130</v>
      </c>
      <c r="E1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59B5A-0CE6-CB4C-AFF0-9AF7D2A35D2F}">
  <dimension ref="A1:I20"/>
  <sheetViews>
    <sheetView tabSelected="1" workbookViewId="0">
      <selection activeCell="H11" sqref="H11"/>
    </sheetView>
  </sheetViews>
  <sheetFormatPr baseColWidth="10" defaultRowHeight="16" x14ac:dyDescent="0.2"/>
  <cols>
    <col min="7" max="7" width="12.83203125" customWidth="1"/>
  </cols>
  <sheetData>
    <row r="1" spans="1:9" x14ac:dyDescent="0.2">
      <c r="A1" s="4" t="s">
        <v>8</v>
      </c>
      <c r="B1" s="4" t="s">
        <v>9</v>
      </c>
      <c r="C1" s="4" t="s">
        <v>20</v>
      </c>
      <c r="D1" s="4"/>
      <c r="E1" s="4" t="s">
        <v>21</v>
      </c>
      <c r="F1" s="4"/>
      <c r="G1" s="4" t="s">
        <v>12</v>
      </c>
      <c r="H1" s="4" t="s">
        <v>13</v>
      </c>
      <c r="I1" s="4" t="s">
        <v>15</v>
      </c>
    </row>
    <row r="2" spans="1:9" x14ac:dyDescent="0.2">
      <c r="A2" t="s">
        <v>22</v>
      </c>
      <c r="B2" t="s">
        <v>2</v>
      </c>
      <c r="C2">
        <v>40</v>
      </c>
      <c r="E2" s="1"/>
      <c r="G2" t="s">
        <v>22</v>
      </c>
      <c r="H2" s="5"/>
    </row>
    <row r="3" spans="1:9" x14ac:dyDescent="0.2">
      <c r="A3" t="s">
        <v>22</v>
      </c>
      <c r="B3" t="s">
        <v>3</v>
      </c>
      <c r="C3">
        <v>60</v>
      </c>
      <c r="E3" s="1"/>
      <c r="G3" t="s">
        <v>2</v>
      </c>
      <c r="H3" s="5"/>
    </row>
    <row r="4" spans="1:9" x14ac:dyDescent="0.2">
      <c r="A4" t="s">
        <v>22</v>
      </c>
      <c r="B4" t="s">
        <v>4</v>
      </c>
      <c r="C4">
        <v>50</v>
      </c>
      <c r="E4" s="1"/>
      <c r="G4" t="s">
        <v>3</v>
      </c>
      <c r="H4" s="5">
        <f>SUM(E6,E9,E11,E13)-SUM(E3,E5,E10,E14,E12)</f>
        <v>0</v>
      </c>
    </row>
    <row r="5" spans="1:9" x14ac:dyDescent="0.2">
      <c r="A5" t="s">
        <v>2</v>
      </c>
      <c r="B5" t="s">
        <v>3</v>
      </c>
      <c r="C5">
        <v>10</v>
      </c>
      <c r="E5" s="1"/>
      <c r="G5" t="s">
        <v>4</v>
      </c>
      <c r="H5" s="5"/>
    </row>
    <row r="6" spans="1:9" x14ac:dyDescent="0.2">
      <c r="A6" t="s">
        <v>3</v>
      </c>
      <c r="B6" t="s">
        <v>2</v>
      </c>
      <c r="C6">
        <v>10</v>
      </c>
      <c r="E6" s="1"/>
      <c r="G6" t="s">
        <v>5</v>
      </c>
      <c r="H6" s="5"/>
    </row>
    <row r="7" spans="1:9" x14ac:dyDescent="0.2">
      <c r="A7" t="s">
        <v>2</v>
      </c>
      <c r="B7" t="s">
        <v>5</v>
      </c>
      <c r="C7">
        <v>70</v>
      </c>
      <c r="E7" s="1"/>
      <c r="G7" t="s">
        <v>6</v>
      </c>
      <c r="H7" s="5"/>
    </row>
    <row r="8" spans="1:9" x14ac:dyDescent="0.2">
      <c r="A8" t="s">
        <v>5</v>
      </c>
      <c r="B8" t="s">
        <v>2</v>
      </c>
      <c r="C8">
        <v>70</v>
      </c>
      <c r="E8" s="1"/>
      <c r="G8" t="s">
        <v>23</v>
      </c>
      <c r="H8" s="5"/>
    </row>
    <row r="9" spans="1:9" x14ac:dyDescent="0.2">
      <c r="A9" t="s">
        <v>3</v>
      </c>
      <c r="B9" t="s">
        <v>4</v>
      </c>
      <c r="C9">
        <v>20</v>
      </c>
      <c r="E9" s="1"/>
    </row>
    <row r="10" spans="1:9" x14ac:dyDescent="0.2">
      <c r="A10" t="s">
        <v>4</v>
      </c>
      <c r="B10" t="s">
        <v>3</v>
      </c>
      <c r="C10">
        <v>20</v>
      </c>
      <c r="E10" s="1"/>
      <c r="G10" t="s">
        <v>24</v>
      </c>
      <c r="H10" s="2">
        <f>SUMPRODUCT(E2:E20,C2:C20)</f>
        <v>0</v>
      </c>
    </row>
    <row r="11" spans="1:9" x14ac:dyDescent="0.2">
      <c r="A11" t="s">
        <v>3</v>
      </c>
      <c r="B11" t="s">
        <v>5</v>
      </c>
      <c r="C11">
        <v>55</v>
      </c>
      <c r="E11" s="1"/>
    </row>
    <row r="12" spans="1:9" x14ac:dyDescent="0.2">
      <c r="A12" t="s">
        <v>5</v>
      </c>
      <c r="B12" t="s">
        <v>3</v>
      </c>
      <c r="C12">
        <v>55</v>
      </c>
      <c r="E12" s="1"/>
    </row>
    <row r="13" spans="1:9" x14ac:dyDescent="0.2">
      <c r="A13" t="s">
        <v>3</v>
      </c>
      <c r="B13" t="s">
        <v>6</v>
      </c>
      <c r="C13">
        <v>40</v>
      </c>
      <c r="E13" s="1"/>
    </row>
    <row r="14" spans="1:9" x14ac:dyDescent="0.2">
      <c r="A14" t="s">
        <v>6</v>
      </c>
      <c r="B14" t="s">
        <v>3</v>
      </c>
      <c r="C14">
        <v>40</v>
      </c>
      <c r="E14" s="1"/>
    </row>
    <row r="15" spans="1:9" x14ac:dyDescent="0.2">
      <c r="A15" t="s">
        <v>4</v>
      </c>
      <c r="B15" t="s">
        <v>6</v>
      </c>
      <c r="C15">
        <v>50</v>
      </c>
      <c r="E15" s="1"/>
    </row>
    <row r="16" spans="1:9" x14ac:dyDescent="0.2">
      <c r="A16" t="s">
        <v>6</v>
      </c>
      <c r="B16" t="s">
        <v>4</v>
      </c>
      <c r="C16">
        <v>50</v>
      </c>
      <c r="E16" s="1"/>
    </row>
    <row r="17" spans="1:5" x14ac:dyDescent="0.2">
      <c r="A17" t="s">
        <v>5</v>
      </c>
      <c r="B17" t="s">
        <v>6</v>
      </c>
      <c r="C17">
        <v>10</v>
      </c>
      <c r="E17" s="1"/>
    </row>
    <row r="18" spans="1:5" x14ac:dyDescent="0.2">
      <c r="A18" t="s">
        <v>6</v>
      </c>
      <c r="B18" t="s">
        <v>5</v>
      </c>
      <c r="C18">
        <v>10</v>
      </c>
      <c r="E18" s="1"/>
    </row>
    <row r="19" spans="1:5" x14ac:dyDescent="0.2">
      <c r="A19" t="s">
        <v>6</v>
      </c>
      <c r="B19" t="s">
        <v>23</v>
      </c>
      <c r="C19">
        <v>80</v>
      </c>
      <c r="E19" s="1"/>
    </row>
    <row r="20" spans="1:5" x14ac:dyDescent="0.2">
      <c r="A20" t="s">
        <v>5</v>
      </c>
      <c r="B20" t="s">
        <v>23</v>
      </c>
      <c r="C20">
        <v>60</v>
      </c>
      <c r="E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01</vt:lpstr>
      <vt:lpstr>Task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2026-02-13T08:35:44Z</dcterms:created>
  <dcterms:modified xsi:type="dcterms:W3CDTF">2026-02-13T09:57:20Z</dcterms:modified>
</cp:coreProperties>
</file>