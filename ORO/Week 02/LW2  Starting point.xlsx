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filterPrivacy="1" defaultThemeVersion="124226"/>
  <xr:revisionPtr revIDLastSave="0" documentId="13_ncr:1_{14E0F5FE-64A2-194B-9B8B-852C5D3DAEE2}" xr6:coauthVersionLast="47" xr6:coauthVersionMax="47" xr10:uidLastSave="{00000000-0000-0000-0000-000000000000}"/>
  <bookViews>
    <workbookView xWindow="0" yWindow="600" windowWidth="27340" windowHeight="15860" activeTab="2" xr2:uid="{00000000-000D-0000-FFFF-FFFF00000000}"/>
  </bookViews>
  <sheets>
    <sheet name="Task 2 Transportation" sheetId="7" r:id="rId1"/>
    <sheet name="Task 3 Assignment" sheetId="5" r:id="rId2"/>
    <sheet name="Task 4 MAKONSEL" sheetId="4" r:id="rId3"/>
  </sheets>
  <externalReferences>
    <externalReference r:id="rId4"/>
    <externalReference r:id="rId5"/>
    <externalReference r:id="rId6"/>
  </externalReferences>
  <definedNames>
    <definedName name="_1_3">[1]FacilityLocation2!$B$16</definedName>
    <definedName name="_1_4">[1]FacilityLocation2!$B$20</definedName>
    <definedName name="_2_1">[1]FacilityLocation2!$B$10</definedName>
    <definedName name="_2_2">[1]FacilityLocation2!$B$13</definedName>
    <definedName name="_2_3">[1]FacilityLocation2!$B$17</definedName>
    <definedName name="_2_5">[1]FacilityLocation2!$B$23</definedName>
    <definedName name="_3_1">[1]FacilityLocation2!$B$11</definedName>
    <definedName name="_3_4">[1]FacilityLocation2!$B$21</definedName>
    <definedName name="_3_5">[1]FacilityLocation2!$B$24</definedName>
    <definedName name="_4_1">[1]FacilityLocation2!$B$12</definedName>
    <definedName name="_4_2">[1]FacilityLocation2!$B$14</definedName>
    <definedName name="_4_3">[1]FacilityLocation2!$B$18</definedName>
    <definedName name="_4_4">[1]FacilityLocation2!$B$22</definedName>
    <definedName name="_4_5">[1]FacilityLocation2!$B$25</definedName>
    <definedName name="_5_2">[1]FacilityLocation2!$B$15</definedName>
    <definedName name="_5_3">[1]FacilityLocation2!$B$19</definedName>
    <definedName name="amtfactory5">[1]FacilityLocation3!$F$57:$F$72</definedName>
    <definedName name="amtsuppliedbyfactory5">[1]FacilityLocation2!$F$59:$F$74</definedName>
    <definedName name="binaries">[1]FacilityLocation2!$B$10:$B$25</definedName>
    <definedName name="binaries2">'[2]Step 3'!$B$12:$B$27</definedName>
    <definedName name="costpertown">'[2]Step 1'!$C$20:$G$20</definedName>
    <definedName name="Demand">[1]FacilityLocation2!$C$54:$G$54</definedName>
    <definedName name="demanded">[1]FacilityLocation3!$K$31:$O$31</definedName>
    <definedName name="DiA">[1]FacilityLocation2!$C$6:$C$25</definedName>
    <definedName name="DiB">[1]FacilityLocation2!$D$6:$D$25</definedName>
    <definedName name="DiC">[1]FacilityLocation2!$E$6:$E$25</definedName>
    <definedName name="DiD">[1]FacilityLocation2!$F$6:$F$25</definedName>
    <definedName name="DiE">[1]FacilityLocation2!$G$6:$G$25</definedName>
    <definedName name="distancetravelled">'[2]Step 3'!$C$52:$G$52</definedName>
    <definedName name="distributionA">[1]FacilityLocation2!$C$31:$C$50</definedName>
    <definedName name="distributionB">[1]FacilityLocation2!$D$31:$D$50</definedName>
    <definedName name="distributionC">[1]FacilityLocation2!$E$31:$E$50</definedName>
    <definedName name="distributionD">[1]FacilityLocation2!$F$31:$F$50</definedName>
    <definedName name="distributionE">[1]FacilityLocation2!$G$31:$G$50</definedName>
    <definedName name="Factory_1">'[2]Step 3'!$K$8:$O$8</definedName>
    <definedName name="Factory_2">'[2]Step 3'!$K$9:$O$9</definedName>
    <definedName name="Factory_3">'[2]Step 3'!$K$10:$O$10</definedName>
    <definedName name="Factory_4">'[2]Step 3'!$K$11:$O$11</definedName>
    <definedName name="factory1supply">'[2]Step 1'!$C$12:$G$12</definedName>
    <definedName name="factory2supply">'[2]Step 1'!$C$13:$G$13</definedName>
    <definedName name="factory3supply">'[2]Step 1'!$C$14:$G$14</definedName>
    <definedName name="factory4supply">'[2]Step 1'!$C$15:$G$15</definedName>
    <definedName name="factory5supply13">[1]FacilityLocation2!$C$41:$G$41</definedName>
    <definedName name="factory5supply14">[1]FacilityLocation2!$C$45:$G$45</definedName>
    <definedName name="factory5supply21">[1]FacilityLocation2!$C$35:$G$35</definedName>
    <definedName name="factory5supply22">[1]FacilityLocation2!$C$38:$G$38</definedName>
    <definedName name="factory5supply23">[1]FacilityLocation2!$C$42:$G$42</definedName>
    <definedName name="factory5supply25">[1]FacilityLocation2!$C$48:$G$48</definedName>
    <definedName name="factory5supply31">[1]FacilityLocation2!$C$36:$G$36</definedName>
    <definedName name="factory5supply34">[1]FacilityLocation2!$C$46:$G$46</definedName>
    <definedName name="factory5supply35">[1]FacilityLocation2!$C$49:$G$49</definedName>
    <definedName name="factory5supply41">[1]FacilityLocation2!$C$37:$G$37</definedName>
    <definedName name="factory5supply42">[1]FacilityLocation2!$C$39:$G$39</definedName>
    <definedName name="factory5supply43">[1]FacilityLocation2!$C$43:$G$43</definedName>
    <definedName name="factory5supply44">[1]FacilityLocation2!$C$47:$G$47</definedName>
    <definedName name="factory5supply45">[1]FacilityLocation2!$C$50:$G$50</definedName>
    <definedName name="factory5supply52">[1]FacilityLocation2!$C$40:$G$40</definedName>
    <definedName name="factory5supply53">[1]FacilityLocation2!$C$44:$G$44</definedName>
    <definedName name="factory5toA">[1]FacilityLocation2!$C$35:$C$50</definedName>
    <definedName name="factory5toB">[1]FacilityLocation2!$D$35:$D$50</definedName>
    <definedName name="factory5toC">[1]FacilityLocation2!$E$35:$E$50</definedName>
    <definedName name="factory5toD">[1]FacilityLocation2!$F$35:$F$50</definedName>
    <definedName name="factory5toE">[1]FacilityLocation2!$G$35:$G$50</definedName>
    <definedName name="maxfact1to4">[1]FacilityLocation3!$Q$8:$Q$11</definedName>
    <definedName name="maxsupplyoffactory1to4">[1]FacilityLocation2!$I$31:$I$34</definedName>
    <definedName name="sencount" hidden="1">2</definedName>
    <definedName name="sizes">[3]BinPacking4!$B$4:$B$123</definedName>
    <definedName name="solver_adj" localSheetId="0" hidden="1">'Task 2 Transportation'!$C$12:$E$13</definedName>
    <definedName name="solver_adj" localSheetId="1" hidden="1">'Task 3 Assignment'!$B$17:$K$26</definedName>
    <definedName name="solver_adj" localSheetId="2" hidden="1">'Task 4 MAKONSEL'!$E$4:$E$13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'Task 2 Transportation'!$C$14</definedName>
    <definedName name="solver_lhs1" localSheetId="1" hidden="1">'Task 3 Assignment'!$B$17:$K$26</definedName>
    <definedName name="solver_lhs1" localSheetId="2" hidden="1">'Task 4 MAKONSEL'!$E$4:$E$13</definedName>
    <definedName name="solver_lhs2" localSheetId="0" hidden="1">'Task 2 Transportation'!$D$14</definedName>
    <definedName name="solver_lhs2" localSheetId="1" hidden="1">'Task 3 Assignment'!$B$27:$K$27</definedName>
    <definedName name="solver_lhs2" localSheetId="2" hidden="1">'Task 4 MAKONSEL'!$G$4:$G$10</definedName>
    <definedName name="solver_lhs3" localSheetId="0" hidden="1">'Task 2 Transportation'!$E$14</definedName>
    <definedName name="solver_lhs3" localSheetId="1" hidden="1">'Task 3 Assignment'!$L$17:$L$26</definedName>
    <definedName name="solver_lhs4" localSheetId="0" hidden="1">'Task 2 Transportation'!$F$12</definedName>
    <definedName name="solver_lhs5" localSheetId="0" hidden="1">'Task 2 Transportation'!$F$13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tri" hidden="1">1000</definedName>
    <definedName name="solver_num" localSheetId="0" hidden="1">5</definedName>
    <definedName name="solver_num" localSheetId="1" hidden="1">3</definedName>
    <definedName name="solver_num" localSheetId="2" hidden="1">2</definedName>
    <definedName name="solver_nwt" localSheetId="0" hidden="1">1</definedName>
    <definedName name="solver_opt" localSheetId="0" hidden="1">'Task 2 Transportation'!$H$15</definedName>
    <definedName name="solver_opt" localSheetId="1" hidden="1">'Task 3 Assignment'!$C$30</definedName>
    <definedName name="solver_opt" localSheetId="2" hidden="1">'Task 4 MAKONSEL'!$C$15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2</definedName>
    <definedName name="solver_rel1" localSheetId="1" hidden="1">5</definedName>
    <definedName name="solver_rel1" localSheetId="2" hidden="1">1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3" localSheetId="0" hidden="1">2</definedName>
    <definedName name="solver_rel3" localSheetId="1" hidden="1">2</definedName>
    <definedName name="solver_rel4" localSheetId="0" hidden="1">2</definedName>
    <definedName name="solver_rel5" localSheetId="0" hidden="1">2</definedName>
    <definedName name="solver_rhs1" localSheetId="0" hidden="1">'Task 2 Transportation'!$C$16</definedName>
    <definedName name="solver_rhs1" localSheetId="1" hidden="1">"binary"</definedName>
    <definedName name="solver_rhs1" localSheetId="2" hidden="1">'Task 4 MAKONSEL'!$D$4:$D$13</definedName>
    <definedName name="solver_rhs2" localSheetId="0" hidden="1">'Task 2 Transportation'!$D$16</definedName>
    <definedName name="solver_rhs2" localSheetId="1" hidden="1">'Task 3 Assignment'!$B$29:$K$29</definedName>
    <definedName name="solver_rhs2" localSheetId="2" hidden="1">'Task 4 MAKONSEL'!$I$4:$I$10</definedName>
    <definedName name="solver_rhs3" localSheetId="0" hidden="1">'Task 2 Transportation'!$E$16</definedName>
    <definedName name="solver_rhs3" localSheetId="1" hidden="1">'Task 3 Assignment'!$N$17:$N$26</definedName>
    <definedName name="solver_rhs4" localSheetId="0" hidden="1">'Task 2 Transportation'!$H$12</definedName>
    <definedName name="solver_rhs5" localSheetId="0" hidden="1">'Task 2 Transportation'!$H$13</definedName>
    <definedName name="solver_rlx" localSheetId="0" hidden="1">2</definedName>
    <definedName name="solver_rlx" localSheetId="1" hidden="1">1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mp" hidden="1">2</definedName>
    <definedName name="solver_scl" localSheetId="0" hidden="1">1</definedName>
    <definedName name="solver_scl" localSheetId="1" hidden="1">2</definedName>
    <definedName name="solver_scl" localSheetId="2" hidden="1">1</definedName>
    <definedName name="solver_seed" hidden="1">0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  <definedName name="sumoffactory5">'[2]Step 3'!$P$12:$P$27</definedName>
    <definedName name="supplybyfactory5">[1]FacilityLocation2!$H$35:$H$50</definedName>
    <definedName name="TAdistance">'[2]Step 3'!$C$8:$C$27</definedName>
    <definedName name="TBdistance">'[2]Step 3'!$D$8:$D$27</definedName>
    <definedName name="TCdistance">'[2]Step 3'!$E$8:$E$27</definedName>
    <definedName name="TDdist">'[2]Step 3'!$F$8:$F$27</definedName>
    <definedName name="TEdist">'[2]Step 3'!$G$8:$G$27</definedName>
    <definedName name="Town_A">'[2]Step 3'!$K$8:$K$27</definedName>
    <definedName name="Town_B">'[2]Step 3'!$L$8:$L$27</definedName>
    <definedName name="Town_C">'[2]Step 3'!$M$8:$M$27</definedName>
    <definedName name="Town_D">'[2]Step 3'!$N$8:$N$27</definedName>
    <definedName name="Town_E">'[2]Step 3'!$O$8:$O$27</definedName>
    <definedName name="TownAbin">'[2]Step 3'!$C$31:$C$50</definedName>
    <definedName name="townAdistance">'[2]Step 1'!$C$5:$C$8</definedName>
    <definedName name="TownAsupplied">'[2]Step 1'!$C$12:$C$15</definedName>
    <definedName name="TownAsupplied2">[1]FacilityLocation2!$C$31:$C$34</definedName>
    <definedName name="TownBbin">'[2]Step 3'!$D$31:$D$50</definedName>
    <definedName name="townBdistance">'[2]Step 1'!$D$5:$D$8</definedName>
    <definedName name="TownBsupplied">'[2]Step 1'!$D$12:$D$15</definedName>
    <definedName name="TownBsupplied2">[1]FacilityLocation2!$D$31:$D$34</definedName>
    <definedName name="TownCbin">'[2]Step 3'!$E$31:$E$50</definedName>
    <definedName name="townCdistance">'[2]Step 1'!$E$5:$E$8</definedName>
    <definedName name="TownCsupplied">'[2]Step 1'!$E$12:$E$15</definedName>
    <definedName name="TownCsupplied2">[1]FacilityLocation2!$E$31:$E$34</definedName>
    <definedName name="TownDbin">'[2]Step 3'!$F$31:$F$50</definedName>
    <definedName name="townDdistance">'[2]Step 1'!$F$5:$F$8</definedName>
    <definedName name="TownDsupplied">'[2]Step 1'!$F$12:$F$15</definedName>
    <definedName name="TownDsupplied2">[1]FacilityLocation2!$F$31:$F$34</definedName>
    <definedName name="TownEbin">'[2]Step 3'!$G$31:$G$50</definedName>
    <definedName name="townEdistance">'[2]Step 1'!$G$5:$G$8</definedName>
    <definedName name="TownEsupplied">'[2]Step 1'!$G$12:$G$15</definedName>
    <definedName name="TownEsupplied2">[1]FacilityLocation2!$G$31:$G$34</definedName>
    <definedName name="townsupdivmaxsup">[1]FacilityLocation3!$K$37:$O$56</definedName>
    <definedName name="transportcost">'[2]Step 1'!$C$19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4" l="1"/>
  <c r="G9" i="4"/>
  <c r="G8" i="4"/>
  <c r="G5" i="4"/>
  <c r="G4" i="4"/>
  <c r="G7" i="4" l="1"/>
  <c r="G6" i="4"/>
  <c r="C15" i="4"/>
  <c r="C27" i="5"/>
  <c r="D27" i="5"/>
  <c r="E27" i="5"/>
  <c r="F27" i="5"/>
  <c r="G27" i="5"/>
  <c r="H27" i="5"/>
  <c r="I27" i="5"/>
  <c r="J27" i="5"/>
  <c r="K27" i="5"/>
  <c r="B27" i="5"/>
  <c r="C30" i="5"/>
  <c r="L18" i="5"/>
  <c r="L19" i="5"/>
  <c r="L20" i="5"/>
  <c r="L21" i="5"/>
  <c r="L22" i="5"/>
  <c r="L23" i="5"/>
  <c r="L24" i="5"/>
  <c r="L25" i="5"/>
  <c r="L26" i="5"/>
  <c r="L17" i="5"/>
  <c r="H15" i="7"/>
  <c r="F13" i="7"/>
  <c r="F12" i="7"/>
  <c r="D14" i="7"/>
  <c r="E14" i="7"/>
  <c r="C14" i="7"/>
</calcChain>
</file>

<file path=xl/sharedStrings.xml><?xml version="1.0" encoding="utf-8"?>
<sst xmlns="http://schemas.openxmlformats.org/spreadsheetml/2006/main" count="101" uniqueCount="38">
  <si>
    <t>=</t>
  </si>
  <si>
    <t>From</t>
  </si>
  <si>
    <t>To</t>
  </si>
  <si>
    <t>Flow xij</t>
  </si>
  <si>
    <t>Node</t>
  </si>
  <si>
    <t>Assignment Problem (N = 10)</t>
  </si>
  <si>
    <t>Total cost</t>
  </si>
  <si>
    <t>cost table</t>
  </si>
  <si>
    <t>MAKONSEL</t>
  </si>
  <si>
    <t>P1</t>
  </si>
  <si>
    <t>WH1</t>
  </si>
  <si>
    <t>WH2</t>
  </si>
  <si>
    <t>P2</t>
  </si>
  <si>
    <t>RO1</t>
  </si>
  <si>
    <t>RO2</t>
  </si>
  <si>
    <t>RO3</t>
  </si>
  <si>
    <t>cost cij</t>
  </si>
  <si>
    <t>capacity uij</t>
  </si>
  <si>
    <t>Netflow</t>
  </si>
  <si>
    <t>supply/demand b</t>
  </si>
  <si>
    <t>demand</t>
  </si>
  <si>
    <t>total cost=</t>
  </si>
  <si>
    <t>total shipped</t>
  </si>
  <si>
    <t>S2</t>
  </si>
  <si>
    <t>S1</t>
  </si>
  <si>
    <t>source</t>
  </si>
  <si>
    <t>supply</t>
  </si>
  <si>
    <t>D3</t>
  </si>
  <si>
    <t>D2</t>
  </si>
  <si>
    <t>D1</t>
  </si>
  <si>
    <t>destination</t>
  </si>
  <si>
    <t>shipping quantites</t>
  </si>
  <si>
    <t>unit cost</t>
  </si>
  <si>
    <t>Transportation</t>
  </si>
  <si>
    <t>Home visit=1</t>
  </si>
  <si>
    <t>Nurse=1</t>
  </si>
  <si>
    <t>Arc:</t>
  </si>
  <si>
    <t>obj 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</si>
</sst>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 applyFont="1"/>
    <xf numFmtId="0" fontId="1" fillId="0" borderId="0" xfId="1"/>
    <xf numFmtId="0" fontId="3" fillId="0" borderId="0" xfId="2"/>
    <xf numFmtId="0" fontId="4" fillId="0" borderId="0" xfId="1" applyFont="1"/>
    <xf numFmtId="1" fontId="4" fillId="0" borderId="0" xfId="1" applyNumberFormat="1" applyFont="1" applyAlignment="1">
      <alignment horizontal="right"/>
    </xf>
    <xf numFmtId="0" fontId="1" fillId="0" borderId="0" xfId="2" applyFont="1"/>
    <xf numFmtId="1" fontId="4" fillId="2" borderId="0" xfId="1" applyNumberFormat="1" applyFont="1" applyFill="1" applyAlignment="1">
      <alignment horizontal="right"/>
    </xf>
    <xf numFmtId="0" fontId="4" fillId="0" borderId="0" xfId="1" applyFont="1" applyFill="1"/>
    <xf numFmtId="1" fontId="4" fillId="0" borderId="0" xfId="1" applyNumberFormat="1" applyFont="1" applyFill="1" applyAlignment="1">
      <alignment horizontal="right"/>
    </xf>
    <xf numFmtId="1" fontId="1" fillId="3" borderId="0" xfId="1" applyNumberFormat="1" applyFill="1"/>
    <xf numFmtId="1" fontId="4" fillId="3" borderId="0" xfId="1" applyNumberFormat="1" applyFont="1" applyFill="1" applyAlignment="1">
      <alignment horizontal="right"/>
    </xf>
    <xf numFmtId="1" fontId="5" fillId="5" borderId="0" xfId="1" applyNumberFormat="1" applyFont="1" applyFill="1" applyAlignment="1">
      <alignment horizontal="right"/>
    </xf>
  </cellXfs>
  <cellStyles count="3">
    <cellStyle name="Normal" xfId="0" builtinId="0"/>
    <cellStyle name="Normal 2" xfId="1" xr:uid="{00000000-0005-0000-0000-000001000000}"/>
    <cellStyle name="Normal 3" xfId="2" xr:uid="{7B324552-A604-204F-B60F-0E0617682D4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ds/Documents/Teaching%20Materials/G54ORM/Models%20Excel/ORModelsO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Teaching/PRESENT/ISC296/Students%20Work/ISC296%20CW2%20Lim%20En%20Qi%20Chlo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ds/Documents/Teaching%20Materials/G54ORM/Models%20Excel/ORModels4-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nimumSpanningTree"/>
      <sheetName val="RoadResurface"/>
      <sheetName val="RoadResurface2"/>
      <sheetName val="Wirehouse (almost)"/>
      <sheetName val="Wirehouse"/>
      <sheetName val="FoodDistribution"/>
      <sheetName val="FacilityLocation(NL)"/>
      <sheetName val="FacilityLocation1"/>
      <sheetName val="FacilityLocation2"/>
      <sheetName val="FacilityLocation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C6">
            <v>1</v>
          </cell>
          <cell r="D6">
            <v>3</v>
          </cell>
          <cell r="E6">
            <v>4</v>
          </cell>
          <cell r="F6">
            <v>8</v>
          </cell>
          <cell r="G6">
            <v>4</v>
          </cell>
        </row>
        <row r="7">
          <cell r="C7">
            <v>3</v>
          </cell>
          <cell r="D7">
            <v>1</v>
          </cell>
          <cell r="E7">
            <v>2</v>
          </cell>
          <cell r="F7">
            <v>4</v>
          </cell>
          <cell r="G7">
            <v>4</v>
          </cell>
        </row>
        <row r="8">
          <cell r="C8">
            <v>3</v>
          </cell>
          <cell r="D8">
            <v>5</v>
          </cell>
          <cell r="E8">
            <v>2</v>
          </cell>
          <cell r="F8">
            <v>4</v>
          </cell>
          <cell r="G8">
            <v>8</v>
          </cell>
        </row>
        <row r="9">
          <cell r="C9">
            <v>6</v>
          </cell>
          <cell r="D9">
            <v>4</v>
          </cell>
          <cell r="E9">
            <v>3</v>
          </cell>
          <cell r="F9">
            <v>1</v>
          </cell>
          <cell r="G9">
            <v>3</v>
          </cell>
        </row>
        <row r="10">
          <cell r="C10">
            <v>2</v>
          </cell>
          <cell r="D10">
            <v>2</v>
          </cell>
          <cell r="E10">
            <v>3</v>
          </cell>
          <cell r="F10">
            <v>7</v>
          </cell>
          <cell r="G10">
            <v>3</v>
          </cell>
        </row>
        <row r="11">
          <cell r="C11">
            <v>3</v>
          </cell>
          <cell r="D11">
            <v>1</v>
          </cell>
          <cell r="E11">
            <v>4</v>
          </cell>
          <cell r="F11">
            <v>6</v>
          </cell>
          <cell r="G11">
            <v>3</v>
          </cell>
        </row>
        <row r="12">
          <cell r="C12">
            <v>4</v>
          </cell>
          <cell r="D12">
            <v>2</v>
          </cell>
          <cell r="E12">
            <v>5</v>
          </cell>
          <cell r="F12">
            <v>5</v>
          </cell>
          <cell r="G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6</v>
          </cell>
          <cell r="G13">
            <v>4</v>
          </cell>
        </row>
        <row r="14">
          <cell r="C14">
            <v>3</v>
          </cell>
          <cell r="D14">
            <v>1</v>
          </cell>
          <cell r="E14">
            <v>4</v>
          </cell>
          <cell r="F14">
            <v>4</v>
          </cell>
          <cell r="G14">
            <v>2</v>
          </cell>
        </row>
        <row r="15">
          <cell r="C15">
            <v>4</v>
          </cell>
          <cell r="D15">
            <v>2</v>
          </cell>
          <cell r="E15">
            <v>5</v>
          </cell>
          <cell r="F15">
            <v>3</v>
          </cell>
          <cell r="G15">
            <v>1</v>
          </cell>
        </row>
        <row r="16">
          <cell r="C16">
            <v>1</v>
          </cell>
          <cell r="D16">
            <v>3</v>
          </cell>
          <cell r="E16">
            <v>2</v>
          </cell>
          <cell r="F16">
            <v>6</v>
          </cell>
          <cell r="G16">
            <v>6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5</v>
          </cell>
          <cell r="G17">
            <v>5</v>
          </cell>
        </row>
        <row r="18">
          <cell r="C18">
            <v>4</v>
          </cell>
          <cell r="D18">
            <v>2</v>
          </cell>
          <cell r="E18">
            <v>3</v>
          </cell>
          <cell r="F18">
            <v>3</v>
          </cell>
          <cell r="G18">
            <v>3</v>
          </cell>
        </row>
        <row r="19">
          <cell r="C19">
            <v>5</v>
          </cell>
          <cell r="D19">
            <v>3</v>
          </cell>
          <cell r="E19">
            <v>4</v>
          </cell>
          <cell r="F19">
            <v>2</v>
          </cell>
          <cell r="G19">
            <v>2</v>
          </cell>
        </row>
        <row r="20">
          <cell r="C20">
            <v>2</v>
          </cell>
          <cell r="D20">
            <v>4</v>
          </cell>
          <cell r="E20">
            <v>1</v>
          </cell>
          <cell r="F20">
            <v>5</v>
          </cell>
          <cell r="G20">
            <v>7</v>
          </cell>
        </row>
        <row r="21">
          <cell r="C21">
            <v>4</v>
          </cell>
          <cell r="D21">
            <v>2</v>
          </cell>
          <cell r="E21">
            <v>1</v>
          </cell>
          <cell r="F21">
            <v>3</v>
          </cell>
          <cell r="G21">
            <v>5</v>
          </cell>
        </row>
        <row r="22">
          <cell r="C22">
            <v>5</v>
          </cell>
          <cell r="D22">
            <v>3</v>
          </cell>
          <cell r="E22">
            <v>2</v>
          </cell>
          <cell r="F22">
            <v>2</v>
          </cell>
          <cell r="G22">
            <v>4</v>
          </cell>
        </row>
        <row r="23">
          <cell r="C23">
            <v>4</v>
          </cell>
          <cell r="D23">
            <v>4</v>
          </cell>
          <cell r="E23">
            <v>1</v>
          </cell>
          <cell r="F23">
            <v>3</v>
          </cell>
          <cell r="G23">
            <v>7</v>
          </cell>
        </row>
        <row r="24">
          <cell r="C24">
            <v>5</v>
          </cell>
          <cell r="D24">
            <v>3</v>
          </cell>
          <cell r="E24">
            <v>2</v>
          </cell>
          <cell r="F24">
            <v>2</v>
          </cell>
          <cell r="G24">
            <v>6</v>
          </cell>
        </row>
        <row r="25">
          <cell r="C25">
            <v>6</v>
          </cell>
          <cell r="D25">
            <v>4</v>
          </cell>
          <cell r="E25">
            <v>3</v>
          </cell>
          <cell r="F25">
            <v>1</v>
          </cell>
          <cell r="G25">
            <v>5</v>
          </cell>
        </row>
        <row r="31">
          <cell r="I31">
            <v>1000</v>
          </cell>
        </row>
        <row r="32">
          <cell r="I32">
            <v>1500</v>
          </cell>
        </row>
        <row r="33">
          <cell r="I33">
            <v>500</v>
          </cell>
        </row>
        <row r="34">
          <cell r="I34">
            <v>1000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4">
          <cell r="C54">
            <v>500</v>
          </cell>
          <cell r="D54">
            <v>500</v>
          </cell>
          <cell r="E54">
            <v>2000</v>
          </cell>
          <cell r="F54">
            <v>1500</v>
          </cell>
          <cell r="G54">
            <v>500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</sheetData>
      <sheetData sheetId="9">
        <row r="8">
          <cell r="Q8">
            <v>1000</v>
          </cell>
        </row>
        <row r="9">
          <cell r="Q9">
            <v>1500</v>
          </cell>
        </row>
        <row r="10">
          <cell r="Q10">
            <v>500</v>
          </cell>
        </row>
        <row r="11">
          <cell r="Q11">
            <v>1000</v>
          </cell>
        </row>
        <row r="31">
          <cell r="K31">
            <v>500</v>
          </cell>
          <cell r="L31">
            <v>500</v>
          </cell>
          <cell r="M31">
            <v>2000</v>
          </cell>
          <cell r="N31">
            <v>1500</v>
          </cell>
          <cell r="O31">
            <v>500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 1"/>
      <sheetName val="Step 2"/>
      <sheetName val="Step 3"/>
    </sheetNames>
    <sheetDataSet>
      <sheetData sheetId="0">
        <row r="5">
          <cell r="C5">
            <v>1</v>
          </cell>
          <cell r="D5">
            <v>3</v>
          </cell>
          <cell r="E5">
            <v>4</v>
          </cell>
          <cell r="F5">
            <v>8</v>
          </cell>
          <cell r="G5">
            <v>4</v>
          </cell>
        </row>
        <row r="6">
          <cell r="C6">
            <v>3</v>
          </cell>
          <cell r="D6">
            <v>1</v>
          </cell>
          <cell r="E6">
            <v>2</v>
          </cell>
          <cell r="F6">
            <v>4</v>
          </cell>
          <cell r="G6">
            <v>4</v>
          </cell>
        </row>
        <row r="7">
          <cell r="C7">
            <v>3</v>
          </cell>
          <cell r="D7">
            <v>5</v>
          </cell>
          <cell r="E7">
            <v>2</v>
          </cell>
          <cell r="F7">
            <v>4</v>
          </cell>
          <cell r="G7">
            <v>8</v>
          </cell>
        </row>
        <row r="8">
          <cell r="C8">
            <v>6</v>
          </cell>
          <cell r="D8">
            <v>4</v>
          </cell>
          <cell r="E8">
            <v>3</v>
          </cell>
          <cell r="F8">
            <v>1</v>
          </cell>
          <cell r="G8">
            <v>3</v>
          </cell>
        </row>
        <row r="12">
          <cell r="C12">
            <v>500</v>
          </cell>
          <cell r="D12">
            <v>0</v>
          </cell>
          <cell r="E12">
            <v>500</v>
          </cell>
          <cell r="F12">
            <v>0</v>
          </cell>
          <cell r="G12">
            <v>0</v>
          </cell>
        </row>
        <row r="13">
          <cell r="C13">
            <v>0</v>
          </cell>
          <cell r="D13">
            <v>500</v>
          </cell>
          <cell r="E13">
            <v>1000</v>
          </cell>
          <cell r="F13">
            <v>0</v>
          </cell>
          <cell r="G13">
            <v>0</v>
          </cell>
        </row>
        <row r="14">
          <cell r="C14">
            <v>0</v>
          </cell>
          <cell r="D14">
            <v>0</v>
          </cell>
          <cell r="E14">
            <v>500</v>
          </cell>
          <cell r="F14">
            <v>0</v>
          </cell>
          <cell r="G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1000</v>
          </cell>
          <cell r="G15">
            <v>0</v>
          </cell>
        </row>
        <row r="19">
          <cell r="C19">
            <v>10</v>
          </cell>
        </row>
        <row r="20">
          <cell r="C20">
            <v>5000</v>
          </cell>
          <cell r="D20">
            <v>5000</v>
          </cell>
          <cell r="E20">
            <v>50000</v>
          </cell>
          <cell r="F20">
            <v>10000</v>
          </cell>
          <cell r="G20">
            <v>0</v>
          </cell>
        </row>
      </sheetData>
      <sheetData sheetId="1">
        <row r="6">
          <cell r="C6">
            <v>1</v>
          </cell>
        </row>
      </sheetData>
      <sheetData sheetId="2">
        <row r="8">
          <cell r="C8">
            <v>1</v>
          </cell>
          <cell r="D8">
            <v>3</v>
          </cell>
          <cell r="E8">
            <v>4</v>
          </cell>
          <cell r="F8">
            <v>8</v>
          </cell>
          <cell r="G8">
            <v>4</v>
          </cell>
        </row>
        <row r="9">
          <cell r="C9">
            <v>3</v>
          </cell>
          <cell r="D9">
            <v>1</v>
          </cell>
          <cell r="E9">
            <v>2</v>
          </cell>
          <cell r="F9">
            <v>4</v>
          </cell>
          <cell r="G9">
            <v>4</v>
          </cell>
        </row>
        <row r="10">
          <cell r="C10">
            <v>3</v>
          </cell>
          <cell r="D10">
            <v>5</v>
          </cell>
          <cell r="E10">
            <v>2</v>
          </cell>
          <cell r="F10">
            <v>4</v>
          </cell>
          <cell r="G10">
            <v>8</v>
          </cell>
        </row>
        <row r="11">
          <cell r="C11">
            <v>6</v>
          </cell>
          <cell r="D11">
            <v>4</v>
          </cell>
          <cell r="E11">
            <v>3</v>
          </cell>
          <cell r="F11">
            <v>1</v>
          </cell>
          <cell r="G11">
            <v>3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3</v>
          </cell>
          <cell r="P12">
            <v>0</v>
          </cell>
        </row>
        <row r="13">
          <cell r="C13">
            <v>3</v>
          </cell>
          <cell r="D13">
            <v>1</v>
          </cell>
          <cell r="E13">
            <v>4</v>
          </cell>
          <cell r="F13">
            <v>6</v>
          </cell>
          <cell r="G13">
            <v>3</v>
          </cell>
          <cell r="P13">
            <v>0</v>
          </cell>
        </row>
        <row r="14">
          <cell r="C14">
            <v>4</v>
          </cell>
          <cell r="D14">
            <v>2</v>
          </cell>
          <cell r="E14">
            <v>5</v>
          </cell>
          <cell r="F14">
            <v>5</v>
          </cell>
          <cell r="G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6</v>
          </cell>
          <cell r="G15">
            <v>4</v>
          </cell>
          <cell r="P15">
            <v>0</v>
          </cell>
        </row>
        <row r="16">
          <cell r="C16">
            <v>3</v>
          </cell>
          <cell r="D16">
            <v>1</v>
          </cell>
          <cell r="E16">
            <v>4</v>
          </cell>
          <cell r="F16">
            <v>4</v>
          </cell>
          <cell r="G16">
            <v>2</v>
          </cell>
          <cell r="P16">
            <v>0</v>
          </cell>
        </row>
        <row r="17">
          <cell r="C17">
            <v>4</v>
          </cell>
          <cell r="D17">
            <v>2</v>
          </cell>
          <cell r="E17">
            <v>5</v>
          </cell>
          <cell r="F17">
            <v>3</v>
          </cell>
          <cell r="G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6</v>
          </cell>
          <cell r="G18">
            <v>6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1</v>
          </cell>
          <cell r="F19">
            <v>5</v>
          </cell>
          <cell r="G19">
            <v>5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3</v>
          </cell>
          <cell r="F20">
            <v>3</v>
          </cell>
          <cell r="G20">
            <v>3</v>
          </cell>
          <cell r="P20">
            <v>0</v>
          </cell>
        </row>
        <row r="21">
          <cell r="C21">
            <v>5</v>
          </cell>
          <cell r="D21">
            <v>3</v>
          </cell>
          <cell r="E21">
            <v>4</v>
          </cell>
          <cell r="F21">
            <v>2</v>
          </cell>
          <cell r="G21">
            <v>2</v>
          </cell>
          <cell r="P21">
            <v>0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5</v>
          </cell>
          <cell r="G22">
            <v>7</v>
          </cell>
          <cell r="P22">
            <v>0</v>
          </cell>
        </row>
        <row r="23">
          <cell r="C23">
            <v>4</v>
          </cell>
          <cell r="D23">
            <v>2</v>
          </cell>
          <cell r="E23">
            <v>1</v>
          </cell>
          <cell r="F23">
            <v>3</v>
          </cell>
          <cell r="G23">
            <v>5</v>
          </cell>
          <cell r="P23">
            <v>0</v>
          </cell>
        </row>
        <row r="24">
          <cell r="C24">
            <v>5</v>
          </cell>
          <cell r="D24">
            <v>3</v>
          </cell>
          <cell r="E24">
            <v>2</v>
          </cell>
          <cell r="F24">
            <v>2</v>
          </cell>
          <cell r="G24">
            <v>4</v>
          </cell>
          <cell r="P24">
            <v>0</v>
          </cell>
        </row>
        <row r="25">
          <cell r="C25">
            <v>4</v>
          </cell>
          <cell r="D25">
            <v>4</v>
          </cell>
          <cell r="E25">
            <v>1</v>
          </cell>
          <cell r="F25">
            <v>3</v>
          </cell>
          <cell r="G25">
            <v>7</v>
          </cell>
          <cell r="P25">
            <v>0</v>
          </cell>
        </row>
        <row r="26">
          <cell r="C26">
            <v>5</v>
          </cell>
          <cell r="D26">
            <v>3</v>
          </cell>
          <cell r="E26">
            <v>2</v>
          </cell>
          <cell r="F26">
            <v>2</v>
          </cell>
          <cell r="G26">
            <v>6</v>
          </cell>
          <cell r="P26">
            <v>0</v>
          </cell>
        </row>
        <row r="27">
          <cell r="C27">
            <v>6</v>
          </cell>
          <cell r="D27">
            <v>4</v>
          </cell>
          <cell r="E27">
            <v>3</v>
          </cell>
          <cell r="F27">
            <v>1</v>
          </cell>
          <cell r="G27">
            <v>5</v>
          </cell>
          <cell r="P27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nPacking1"/>
      <sheetName val="BinPacking2"/>
      <sheetName val="BinPacking3"/>
      <sheetName val="BinPacking4"/>
      <sheetName val="GeneralisedAssignment1"/>
      <sheetName val="GeneralisedAssignment2"/>
      <sheetName val="GeneralisedAssignment3"/>
      <sheetName val="GeneralisedAssignment4"/>
      <sheetName val="ProjectBudgeting"/>
      <sheetName val="SoftwareComponents1"/>
      <sheetName val="SoftwareComponents2"/>
      <sheetName val="FuelLoading"/>
      <sheetName val="SuitcasePacking1"/>
      <sheetName val="SuitcasePacking2"/>
      <sheetName val="BinPacking5"/>
      <sheetName val="Survivor"/>
      <sheetName val="SalesmenAssignment"/>
      <sheetName val="SalesmenAssignmentExtended"/>
    </sheetNames>
    <sheetDataSet>
      <sheetData sheetId="0"/>
      <sheetData sheetId="1"/>
      <sheetData sheetId="2"/>
      <sheetData sheetId="3">
        <row r="4">
          <cell r="B4">
            <v>42</v>
          </cell>
        </row>
        <row r="5">
          <cell r="B5">
            <v>69</v>
          </cell>
        </row>
        <row r="6">
          <cell r="B6">
            <v>67</v>
          </cell>
        </row>
        <row r="7">
          <cell r="B7">
            <v>57</v>
          </cell>
        </row>
        <row r="8">
          <cell r="B8">
            <v>93</v>
          </cell>
        </row>
        <row r="9">
          <cell r="B9">
            <v>90</v>
          </cell>
        </row>
        <row r="10">
          <cell r="B10">
            <v>38</v>
          </cell>
        </row>
        <row r="11">
          <cell r="B11">
            <v>36</v>
          </cell>
        </row>
        <row r="12">
          <cell r="B12">
            <v>45</v>
          </cell>
        </row>
        <row r="13">
          <cell r="B13">
            <v>42</v>
          </cell>
        </row>
        <row r="14">
          <cell r="B14">
            <v>33</v>
          </cell>
        </row>
        <row r="15">
          <cell r="B15">
            <v>79</v>
          </cell>
        </row>
        <row r="16">
          <cell r="B16">
            <v>27</v>
          </cell>
        </row>
        <row r="17">
          <cell r="B17">
            <v>57</v>
          </cell>
        </row>
        <row r="18">
          <cell r="B18">
            <v>44</v>
          </cell>
        </row>
        <row r="19">
          <cell r="B19">
            <v>84</v>
          </cell>
        </row>
        <row r="20">
          <cell r="B20">
            <v>86</v>
          </cell>
        </row>
        <row r="21">
          <cell r="B21">
            <v>92</v>
          </cell>
        </row>
        <row r="22">
          <cell r="B22">
            <v>46</v>
          </cell>
        </row>
        <row r="23">
          <cell r="B23">
            <v>38</v>
          </cell>
        </row>
        <row r="24">
          <cell r="B24">
            <v>85</v>
          </cell>
        </row>
        <row r="25">
          <cell r="B25">
            <v>33</v>
          </cell>
        </row>
        <row r="26">
          <cell r="B26">
            <v>82</v>
          </cell>
        </row>
        <row r="27">
          <cell r="B27">
            <v>73</v>
          </cell>
        </row>
        <row r="28">
          <cell r="B28">
            <v>49</v>
          </cell>
        </row>
        <row r="29">
          <cell r="B29">
            <v>70</v>
          </cell>
        </row>
        <row r="30">
          <cell r="B30">
            <v>59</v>
          </cell>
        </row>
        <row r="31">
          <cell r="B31">
            <v>23</v>
          </cell>
        </row>
        <row r="32">
          <cell r="B32">
            <v>57</v>
          </cell>
        </row>
        <row r="33">
          <cell r="B33">
            <v>72</v>
          </cell>
        </row>
        <row r="34">
          <cell r="B34">
            <v>74</v>
          </cell>
        </row>
        <row r="35">
          <cell r="B35">
            <v>69</v>
          </cell>
        </row>
        <row r="36">
          <cell r="B36">
            <v>33</v>
          </cell>
        </row>
        <row r="37">
          <cell r="B37">
            <v>42</v>
          </cell>
        </row>
        <row r="38">
          <cell r="B38">
            <v>28</v>
          </cell>
        </row>
        <row r="39">
          <cell r="B39">
            <v>46</v>
          </cell>
        </row>
        <row r="40">
          <cell r="B40">
            <v>30</v>
          </cell>
        </row>
        <row r="41">
          <cell r="B41">
            <v>64</v>
          </cell>
        </row>
        <row r="42">
          <cell r="B42">
            <v>29</v>
          </cell>
        </row>
        <row r="43">
          <cell r="B43">
            <v>74</v>
          </cell>
        </row>
        <row r="44">
          <cell r="B44">
            <v>41</v>
          </cell>
        </row>
        <row r="45">
          <cell r="B45">
            <v>49</v>
          </cell>
        </row>
        <row r="46">
          <cell r="B46">
            <v>55</v>
          </cell>
        </row>
        <row r="47">
          <cell r="B47">
            <v>98</v>
          </cell>
        </row>
        <row r="48">
          <cell r="B48">
            <v>80</v>
          </cell>
        </row>
        <row r="49">
          <cell r="B49">
            <v>32</v>
          </cell>
        </row>
        <row r="50">
          <cell r="B50">
            <v>25</v>
          </cell>
        </row>
        <row r="51">
          <cell r="B51">
            <v>38</v>
          </cell>
        </row>
        <row r="52">
          <cell r="B52">
            <v>82</v>
          </cell>
        </row>
        <row r="53">
          <cell r="B53">
            <v>30</v>
          </cell>
        </row>
        <row r="54">
          <cell r="B54">
            <v>35</v>
          </cell>
        </row>
        <row r="55">
          <cell r="B55">
            <v>39</v>
          </cell>
        </row>
        <row r="56">
          <cell r="B56">
            <v>57</v>
          </cell>
        </row>
        <row r="57">
          <cell r="B57">
            <v>84</v>
          </cell>
        </row>
        <row r="58">
          <cell r="B58">
            <v>62</v>
          </cell>
        </row>
        <row r="59">
          <cell r="B59">
            <v>50</v>
          </cell>
        </row>
        <row r="60">
          <cell r="B60">
            <v>55</v>
          </cell>
        </row>
        <row r="61">
          <cell r="B61">
            <v>27</v>
          </cell>
        </row>
        <row r="62">
          <cell r="B62">
            <v>30</v>
          </cell>
        </row>
        <row r="63">
          <cell r="B63">
            <v>36</v>
          </cell>
        </row>
        <row r="64">
          <cell r="B64">
            <v>20</v>
          </cell>
        </row>
        <row r="65">
          <cell r="B65">
            <v>78</v>
          </cell>
        </row>
        <row r="66">
          <cell r="B66">
            <v>47</v>
          </cell>
        </row>
        <row r="67">
          <cell r="B67">
            <v>26</v>
          </cell>
        </row>
        <row r="68">
          <cell r="B68">
            <v>45</v>
          </cell>
        </row>
        <row r="69">
          <cell r="B69">
            <v>41</v>
          </cell>
        </row>
        <row r="70">
          <cell r="B70">
            <v>58</v>
          </cell>
        </row>
        <row r="71">
          <cell r="B71">
            <v>98</v>
          </cell>
        </row>
        <row r="72">
          <cell r="B72">
            <v>91</v>
          </cell>
        </row>
        <row r="73">
          <cell r="B73">
            <v>96</v>
          </cell>
        </row>
        <row r="74">
          <cell r="B74">
            <v>73</v>
          </cell>
        </row>
        <row r="75">
          <cell r="B75">
            <v>84</v>
          </cell>
        </row>
        <row r="76">
          <cell r="B76">
            <v>37</v>
          </cell>
        </row>
        <row r="77">
          <cell r="B77">
            <v>93</v>
          </cell>
        </row>
        <row r="78">
          <cell r="B78">
            <v>91</v>
          </cell>
        </row>
        <row r="79">
          <cell r="B79">
            <v>43</v>
          </cell>
        </row>
        <row r="80">
          <cell r="B80">
            <v>73</v>
          </cell>
        </row>
        <row r="81">
          <cell r="B81">
            <v>85</v>
          </cell>
        </row>
        <row r="82">
          <cell r="B82">
            <v>81</v>
          </cell>
        </row>
        <row r="83">
          <cell r="B83">
            <v>79</v>
          </cell>
        </row>
        <row r="84">
          <cell r="B84">
            <v>71</v>
          </cell>
        </row>
        <row r="85">
          <cell r="B85">
            <v>80</v>
          </cell>
        </row>
        <row r="86">
          <cell r="B86">
            <v>76</v>
          </cell>
        </row>
        <row r="87">
          <cell r="B87">
            <v>83</v>
          </cell>
        </row>
        <row r="88">
          <cell r="B88">
            <v>41</v>
          </cell>
        </row>
        <row r="89">
          <cell r="B89">
            <v>78</v>
          </cell>
        </row>
        <row r="90">
          <cell r="B90">
            <v>70</v>
          </cell>
        </row>
        <row r="91">
          <cell r="B91">
            <v>23</v>
          </cell>
        </row>
        <row r="92">
          <cell r="B92">
            <v>42</v>
          </cell>
        </row>
        <row r="93">
          <cell r="B93">
            <v>87</v>
          </cell>
        </row>
        <row r="94">
          <cell r="B94">
            <v>43</v>
          </cell>
        </row>
        <row r="95">
          <cell r="B95">
            <v>84</v>
          </cell>
        </row>
        <row r="96">
          <cell r="B96">
            <v>60</v>
          </cell>
        </row>
        <row r="97">
          <cell r="B97">
            <v>55</v>
          </cell>
        </row>
        <row r="98">
          <cell r="B98">
            <v>49</v>
          </cell>
        </row>
        <row r="99">
          <cell r="B99">
            <v>78</v>
          </cell>
        </row>
        <row r="100">
          <cell r="B100">
            <v>73</v>
          </cell>
        </row>
        <row r="101">
          <cell r="B101">
            <v>62</v>
          </cell>
        </row>
        <row r="102">
          <cell r="B102">
            <v>36</v>
          </cell>
        </row>
        <row r="103">
          <cell r="B103">
            <v>44</v>
          </cell>
        </row>
        <row r="104">
          <cell r="B104">
            <v>94</v>
          </cell>
        </row>
        <row r="105">
          <cell r="B105">
            <v>69</v>
          </cell>
        </row>
        <row r="106">
          <cell r="B106">
            <v>32</v>
          </cell>
        </row>
        <row r="107">
          <cell r="B107">
            <v>96</v>
          </cell>
        </row>
        <row r="108">
          <cell r="B108">
            <v>70</v>
          </cell>
        </row>
        <row r="109">
          <cell r="B109">
            <v>84</v>
          </cell>
        </row>
        <row r="110">
          <cell r="B110">
            <v>58</v>
          </cell>
        </row>
        <row r="111">
          <cell r="B111">
            <v>78</v>
          </cell>
        </row>
        <row r="112">
          <cell r="B112">
            <v>25</v>
          </cell>
        </row>
        <row r="113">
          <cell r="B113">
            <v>80</v>
          </cell>
        </row>
        <row r="114">
          <cell r="B114">
            <v>58</v>
          </cell>
        </row>
        <row r="115">
          <cell r="B115">
            <v>66</v>
          </cell>
        </row>
        <row r="116">
          <cell r="B116">
            <v>83</v>
          </cell>
        </row>
        <row r="117">
          <cell r="B117">
            <v>24</v>
          </cell>
        </row>
        <row r="118">
          <cell r="B118">
            <v>98</v>
          </cell>
        </row>
        <row r="119">
          <cell r="B119">
            <v>60</v>
          </cell>
        </row>
        <row r="120">
          <cell r="B120">
            <v>42</v>
          </cell>
        </row>
        <row r="121">
          <cell r="B121">
            <v>43</v>
          </cell>
        </row>
        <row r="122">
          <cell r="B122">
            <v>43</v>
          </cell>
        </row>
        <row r="123">
          <cell r="B123">
            <v>39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5373-F5E7-1C4D-9DBD-6B5202FC3762}">
  <dimension ref="A1:H16"/>
  <sheetViews>
    <sheetView topLeftCell="A2" zoomScale="195" zoomScaleNormal="195" workbookViewId="0">
      <selection activeCell="J12" sqref="J12"/>
    </sheetView>
  </sheetViews>
  <sheetFormatPr baseColWidth="10" defaultColWidth="8.83203125" defaultRowHeight="15" x14ac:dyDescent="0.2"/>
  <sheetData>
    <row r="1" spans="1:8" x14ac:dyDescent="0.2">
      <c r="A1" t="s">
        <v>33</v>
      </c>
    </row>
    <row r="2" spans="1:8" x14ac:dyDescent="0.2">
      <c r="D2" t="s">
        <v>32</v>
      </c>
    </row>
    <row r="3" spans="1:8" x14ac:dyDescent="0.2">
      <c r="D3" t="s">
        <v>30</v>
      </c>
    </row>
    <row r="4" spans="1:8" x14ac:dyDescent="0.2">
      <c r="C4" t="s">
        <v>29</v>
      </c>
      <c r="D4" t="s">
        <v>28</v>
      </c>
      <c r="E4" t="s">
        <v>27</v>
      </c>
      <c r="F4" t="s">
        <v>26</v>
      </c>
    </row>
    <row r="5" spans="1:8" x14ac:dyDescent="0.2">
      <c r="A5" t="s">
        <v>25</v>
      </c>
      <c r="B5" t="s">
        <v>24</v>
      </c>
      <c r="C5">
        <v>9</v>
      </c>
      <c r="D5">
        <v>2</v>
      </c>
      <c r="E5">
        <v>7</v>
      </c>
      <c r="F5">
        <v>50</v>
      </c>
    </row>
    <row r="6" spans="1:8" x14ac:dyDescent="0.2">
      <c r="B6" t="s">
        <v>23</v>
      </c>
      <c r="C6">
        <v>4</v>
      </c>
      <c r="D6">
        <v>8</v>
      </c>
      <c r="E6">
        <v>6</v>
      </c>
      <c r="F6">
        <v>80</v>
      </c>
    </row>
    <row r="7" spans="1:8" x14ac:dyDescent="0.2">
      <c r="A7" t="s">
        <v>20</v>
      </c>
      <c r="C7">
        <v>30</v>
      </c>
      <c r="D7">
        <v>55</v>
      </c>
      <c r="E7">
        <v>45</v>
      </c>
    </row>
    <row r="9" spans="1:8" x14ac:dyDescent="0.2">
      <c r="D9" t="s">
        <v>31</v>
      </c>
    </row>
    <row r="10" spans="1:8" x14ac:dyDescent="0.2">
      <c r="D10" t="s">
        <v>30</v>
      </c>
    </row>
    <row r="11" spans="1:8" x14ac:dyDescent="0.2">
      <c r="C11" t="s">
        <v>29</v>
      </c>
      <c r="D11" t="s">
        <v>28</v>
      </c>
      <c r="E11" t="s">
        <v>27</v>
      </c>
      <c r="F11" t="s">
        <v>22</v>
      </c>
      <c r="H11" t="s">
        <v>26</v>
      </c>
    </row>
    <row r="12" spans="1:8" x14ac:dyDescent="0.2">
      <c r="A12" t="s">
        <v>25</v>
      </c>
      <c r="B12" t="s">
        <v>24</v>
      </c>
      <c r="C12" s="1">
        <v>0</v>
      </c>
      <c r="D12" s="1">
        <v>50</v>
      </c>
      <c r="E12" s="1">
        <v>0</v>
      </c>
      <c r="F12" s="2">
        <f>SUM(C12:E12)</f>
        <v>50</v>
      </c>
      <c r="G12" t="s">
        <v>0</v>
      </c>
      <c r="H12">
        <v>50</v>
      </c>
    </row>
    <row r="13" spans="1:8" x14ac:dyDescent="0.2">
      <c r="B13" t="s">
        <v>23</v>
      </c>
      <c r="C13" s="1">
        <v>30</v>
      </c>
      <c r="D13" s="1">
        <v>5</v>
      </c>
      <c r="E13" s="1">
        <v>45</v>
      </c>
      <c r="F13" s="2">
        <f>SUM(C13:E13)</f>
        <v>80</v>
      </c>
      <c r="G13" t="s">
        <v>0</v>
      </c>
      <c r="H13">
        <v>80</v>
      </c>
    </row>
    <row r="14" spans="1:8" x14ac:dyDescent="0.2">
      <c r="A14" t="s">
        <v>22</v>
      </c>
      <c r="C14" s="2">
        <f>SUM(C12:C13)</f>
        <v>30</v>
      </c>
      <c r="D14" s="2">
        <f t="shared" ref="D14:E14" si="0">SUM(D12:D13)</f>
        <v>55</v>
      </c>
      <c r="E14" s="2">
        <f t="shared" si="0"/>
        <v>45</v>
      </c>
    </row>
    <row r="15" spans="1:8" x14ac:dyDescent="0.2">
      <c r="C15" t="s">
        <v>0</v>
      </c>
      <c r="D15" t="s">
        <v>0</v>
      </c>
      <c r="E15" t="s">
        <v>0</v>
      </c>
      <c r="G15" t="s">
        <v>21</v>
      </c>
      <c r="H15" s="3">
        <f>SUMPRODUCT(C12:E13,C5:E6)</f>
        <v>530</v>
      </c>
    </row>
    <row r="16" spans="1:8" x14ac:dyDescent="0.2">
      <c r="A16" t="s">
        <v>20</v>
      </c>
      <c r="C16">
        <v>30</v>
      </c>
      <c r="D16">
        <v>55</v>
      </c>
      <c r="E16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178E-9D6A-144E-985C-402A1A5DB1AE}">
  <dimension ref="A1:R33"/>
  <sheetViews>
    <sheetView zoomScale="153" zoomScaleNormal="153" workbookViewId="0">
      <selection activeCell="E30" sqref="E30"/>
    </sheetView>
  </sheetViews>
  <sheetFormatPr baseColWidth="10" defaultColWidth="8.83203125" defaultRowHeight="13" x14ac:dyDescent="0.15"/>
  <cols>
    <col min="1" max="1" width="20.33203125" style="6" customWidth="1"/>
    <col min="2" max="16384" width="8.83203125" style="6"/>
  </cols>
  <sheetData>
    <row r="1" spans="1:18" ht="18" x14ac:dyDescent="0.2">
      <c r="A1" s="4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15">
      <c r="A2" s="7" t="s">
        <v>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5"/>
      <c r="P2" s="5"/>
      <c r="Q2" s="5"/>
      <c r="R2" s="5"/>
    </row>
    <row r="3" spans="1:18" x14ac:dyDescent="0.15">
      <c r="A3" s="9" t="s">
        <v>34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/>
      <c r="M3" s="7"/>
      <c r="N3" s="7"/>
      <c r="O3" s="5"/>
      <c r="P3" s="5"/>
      <c r="Q3" s="5"/>
      <c r="R3" s="5"/>
    </row>
    <row r="4" spans="1:18" x14ac:dyDescent="0.15">
      <c r="A4" s="7" t="s">
        <v>35</v>
      </c>
      <c r="B4" s="8">
        <v>52</v>
      </c>
      <c r="C4" s="8">
        <v>89</v>
      </c>
      <c r="D4" s="8">
        <v>40</v>
      </c>
      <c r="E4" s="8">
        <v>77</v>
      </c>
      <c r="F4" s="8">
        <v>89</v>
      </c>
      <c r="G4" s="8">
        <v>14</v>
      </c>
      <c r="H4" s="8">
        <v>9</v>
      </c>
      <c r="I4" s="8">
        <v>77</v>
      </c>
      <c r="J4" s="8">
        <v>92</v>
      </c>
      <c r="K4" s="8">
        <v>77</v>
      </c>
      <c r="L4" s="7"/>
      <c r="M4" s="7"/>
      <c r="N4" s="7"/>
      <c r="O4" s="5"/>
      <c r="P4" s="5"/>
      <c r="Q4" s="5"/>
      <c r="R4" s="5"/>
    </row>
    <row r="5" spans="1:18" x14ac:dyDescent="0.15">
      <c r="A5" s="7">
        <v>2</v>
      </c>
      <c r="B5" s="8">
        <v>20</v>
      </c>
      <c r="C5" s="8">
        <v>17</v>
      </c>
      <c r="D5" s="8">
        <v>80</v>
      </c>
      <c r="E5" s="8">
        <v>96</v>
      </c>
      <c r="F5" s="8">
        <v>14</v>
      </c>
      <c r="G5" s="8">
        <v>43</v>
      </c>
      <c r="H5" s="8">
        <v>4</v>
      </c>
      <c r="I5" s="8">
        <v>69</v>
      </c>
      <c r="J5" s="8">
        <v>5</v>
      </c>
      <c r="K5" s="8">
        <v>29</v>
      </c>
      <c r="L5" s="7"/>
      <c r="M5" s="7"/>
      <c r="N5" s="7"/>
      <c r="O5" s="5"/>
      <c r="P5" s="5"/>
      <c r="Q5" s="5"/>
      <c r="R5" s="5"/>
    </row>
    <row r="6" spans="1:18" x14ac:dyDescent="0.15">
      <c r="A6" s="7">
        <v>3</v>
      </c>
      <c r="B6" s="8">
        <v>17</v>
      </c>
      <c r="C6" s="8">
        <v>34</v>
      </c>
      <c r="D6" s="8">
        <v>50</v>
      </c>
      <c r="E6" s="8">
        <v>77</v>
      </c>
      <c r="F6" s="8">
        <v>71</v>
      </c>
      <c r="G6" s="8">
        <v>31</v>
      </c>
      <c r="H6" s="8">
        <v>74</v>
      </c>
      <c r="I6" s="8">
        <v>26</v>
      </c>
      <c r="J6" s="8">
        <v>100</v>
      </c>
      <c r="K6" s="8">
        <v>20</v>
      </c>
      <c r="L6" s="7"/>
      <c r="M6" s="7"/>
      <c r="N6" s="7"/>
      <c r="O6" s="5"/>
      <c r="P6" s="5"/>
      <c r="Q6" s="5"/>
      <c r="R6" s="5"/>
    </row>
    <row r="7" spans="1:18" x14ac:dyDescent="0.15">
      <c r="A7" s="7">
        <v>4</v>
      </c>
      <c r="B7" s="8">
        <v>55</v>
      </c>
      <c r="C7" s="8">
        <v>63</v>
      </c>
      <c r="D7" s="8">
        <v>85</v>
      </c>
      <c r="E7" s="8">
        <v>35</v>
      </c>
      <c r="F7" s="8">
        <v>31</v>
      </c>
      <c r="G7" s="8">
        <v>46</v>
      </c>
      <c r="H7" s="8">
        <v>51</v>
      </c>
      <c r="I7" s="8">
        <v>70</v>
      </c>
      <c r="J7" s="8">
        <v>21</v>
      </c>
      <c r="K7" s="8">
        <v>24</v>
      </c>
      <c r="L7" s="7"/>
      <c r="M7" s="7"/>
      <c r="N7" s="7"/>
      <c r="O7" s="5"/>
      <c r="P7" s="5"/>
      <c r="Q7" s="5"/>
      <c r="R7" s="5"/>
    </row>
    <row r="8" spans="1:18" x14ac:dyDescent="0.15">
      <c r="A8" s="7">
        <v>5</v>
      </c>
      <c r="B8" s="8">
        <v>70</v>
      </c>
      <c r="C8" s="8">
        <v>13</v>
      </c>
      <c r="D8" s="8">
        <v>14</v>
      </c>
      <c r="E8" s="8">
        <v>26</v>
      </c>
      <c r="F8" s="8">
        <v>49</v>
      </c>
      <c r="G8" s="8">
        <v>80</v>
      </c>
      <c r="H8" s="8">
        <v>24</v>
      </c>
      <c r="I8" s="8">
        <v>48</v>
      </c>
      <c r="J8" s="8">
        <v>31</v>
      </c>
      <c r="K8" s="8">
        <v>42</v>
      </c>
      <c r="L8" s="7"/>
      <c r="M8" s="7"/>
      <c r="N8" s="7"/>
      <c r="O8" s="5"/>
      <c r="P8" s="5"/>
      <c r="Q8" s="5"/>
      <c r="R8" s="5"/>
    </row>
    <row r="9" spans="1:18" x14ac:dyDescent="0.15">
      <c r="A9" s="7">
        <v>6</v>
      </c>
      <c r="B9" s="8">
        <v>99</v>
      </c>
      <c r="C9" s="8">
        <v>72</v>
      </c>
      <c r="D9" s="8">
        <v>15</v>
      </c>
      <c r="E9" s="8">
        <v>91</v>
      </c>
      <c r="F9" s="8">
        <v>70</v>
      </c>
      <c r="G9" s="8">
        <v>94</v>
      </c>
      <c r="H9" s="8">
        <v>95</v>
      </c>
      <c r="I9" s="8">
        <v>50</v>
      </c>
      <c r="J9" s="8">
        <v>35</v>
      </c>
      <c r="K9" s="8">
        <v>30</v>
      </c>
      <c r="L9" s="7"/>
      <c r="M9" s="7"/>
      <c r="N9" s="7"/>
      <c r="O9" s="5"/>
      <c r="P9" s="5"/>
      <c r="Q9" s="5"/>
      <c r="R9" s="5"/>
    </row>
    <row r="10" spans="1:18" x14ac:dyDescent="0.15">
      <c r="A10" s="7">
        <v>7</v>
      </c>
      <c r="B10" s="8">
        <v>77</v>
      </c>
      <c r="C10" s="8">
        <v>83</v>
      </c>
      <c r="D10" s="8">
        <v>59</v>
      </c>
      <c r="E10" s="8">
        <v>20</v>
      </c>
      <c r="F10" s="8">
        <v>49</v>
      </c>
      <c r="G10" s="8">
        <v>97</v>
      </c>
      <c r="H10" s="8">
        <v>66</v>
      </c>
      <c r="I10" s="8">
        <v>21</v>
      </c>
      <c r="J10" s="8">
        <v>82</v>
      </c>
      <c r="K10" s="8">
        <v>42</v>
      </c>
      <c r="L10" s="7"/>
      <c r="M10" s="7"/>
      <c r="N10" s="7"/>
      <c r="O10" s="5"/>
      <c r="P10" s="5"/>
      <c r="Q10" s="5"/>
      <c r="R10" s="5"/>
    </row>
    <row r="11" spans="1:18" x14ac:dyDescent="0.15">
      <c r="A11" s="7">
        <v>8</v>
      </c>
      <c r="B11" s="8">
        <v>37</v>
      </c>
      <c r="C11" s="8">
        <v>78</v>
      </c>
      <c r="D11" s="8">
        <v>99</v>
      </c>
      <c r="E11" s="8">
        <v>75</v>
      </c>
      <c r="F11" s="8">
        <v>77</v>
      </c>
      <c r="G11" s="8">
        <v>2</v>
      </c>
      <c r="H11" s="8">
        <v>39</v>
      </c>
      <c r="I11" s="8">
        <v>53</v>
      </c>
      <c r="J11" s="8">
        <v>54</v>
      </c>
      <c r="K11" s="8">
        <v>90</v>
      </c>
      <c r="L11" s="7"/>
      <c r="M11" s="7"/>
      <c r="N11" s="7"/>
      <c r="O11" s="5"/>
      <c r="P11" s="5"/>
      <c r="Q11" s="5"/>
      <c r="R11" s="5"/>
    </row>
    <row r="12" spans="1:18" x14ac:dyDescent="0.15">
      <c r="A12" s="7">
        <v>9</v>
      </c>
      <c r="B12" s="8">
        <v>79</v>
      </c>
      <c r="C12" s="8">
        <v>6</v>
      </c>
      <c r="D12" s="8">
        <v>19</v>
      </c>
      <c r="E12" s="8">
        <v>90</v>
      </c>
      <c r="F12" s="8">
        <v>57</v>
      </c>
      <c r="G12" s="8">
        <v>16</v>
      </c>
      <c r="H12" s="8">
        <v>64</v>
      </c>
      <c r="I12" s="8">
        <v>15</v>
      </c>
      <c r="J12" s="8">
        <v>50</v>
      </c>
      <c r="K12" s="8">
        <v>2</v>
      </c>
      <c r="L12" s="7"/>
      <c r="M12" s="7"/>
      <c r="N12" s="7"/>
      <c r="O12" s="5"/>
      <c r="P12" s="5"/>
      <c r="Q12" s="5"/>
      <c r="R12" s="5"/>
    </row>
    <row r="13" spans="1:18" x14ac:dyDescent="0.15">
      <c r="A13" s="7">
        <v>10</v>
      </c>
      <c r="B13" s="8">
        <v>23</v>
      </c>
      <c r="C13" s="8">
        <v>75</v>
      </c>
      <c r="D13" s="8">
        <v>22</v>
      </c>
      <c r="E13" s="8">
        <v>81</v>
      </c>
      <c r="F13" s="8">
        <v>44</v>
      </c>
      <c r="G13" s="8">
        <v>22</v>
      </c>
      <c r="H13" s="8">
        <v>28</v>
      </c>
      <c r="I13" s="8">
        <v>67</v>
      </c>
      <c r="J13" s="8">
        <v>75</v>
      </c>
      <c r="K13" s="8">
        <v>81</v>
      </c>
      <c r="L13" s="7"/>
      <c r="M13" s="7"/>
      <c r="N13" s="7"/>
      <c r="O13" s="5"/>
      <c r="P13" s="5"/>
      <c r="Q13" s="5"/>
      <c r="R13" s="5"/>
    </row>
    <row r="14" spans="1:18" x14ac:dyDescent="0.15">
      <c r="A14" s="7"/>
      <c r="B14" s="7"/>
      <c r="C14" s="7"/>
      <c r="D14" s="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15">
      <c r="A15" s="7"/>
      <c r="B15" s="7"/>
      <c r="C15" s="7"/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15">
      <c r="A16" s="9" t="s">
        <v>34</v>
      </c>
      <c r="B16" s="7">
        <v>1</v>
      </c>
      <c r="C16" s="7">
        <v>2</v>
      </c>
      <c r="D16" s="7">
        <v>3</v>
      </c>
      <c r="E16" s="7">
        <v>4</v>
      </c>
      <c r="F16" s="7">
        <v>5</v>
      </c>
      <c r="G16" s="7">
        <v>6</v>
      </c>
      <c r="H16" s="7">
        <v>7</v>
      </c>
      <c r="I16" s="7">
        <v>8</v>
      </c>
      <c r="J16" s="7">
        <v>9</v>
      </c>
      <c r="K16" s="7">
        <v>10</v>
      </c>
      <c r="L16" s="5"/>
      <c r="M16" s="5"/>
      <c r="N16" s="5"/>
      <c r="O16" s="5"/>
      <c r="P16" s="5"/>
      <c r="Q16" s="5"/>
      <c r="R16" s="5"/>
    </row>
    <row r="17" spans="1:18" x14ac:dyDescent="0.15">
      <c r="A17" s="7" t="s">
        <v>35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0</v>
      </c>
      <c r="J17" s="10">
        <v>0</v>
      </c>
      <c r="K17" s="10">
        <v>0</v>
      </c>
      <c r="L17" s="13">
        <f>SUM(B17:K17)</f>
        <v>1</v>
      </c>
      <c r="M17" s="5" t="s">
        <v>0</v>
      </c>
      <c r="N17" s="5">
        <v>1</v>
      </c>
      <c r="O17" s="5"/>
      <c r="P17" s="5"/>
      <c r="Q17" s="5"/>
      <c r="R17" s="5"/>
    </row>
    <row r="18" spans="1:18" x14ac:dyDescent="0.15">
      <c r="A18" s="7">
        <v>2</v>
      </c>
      <c r="B18" s="10">
        <v>0</v>
      </c>
      <c r="C18" s="10">
        <v>0</v>
      </c>
      <c r="D18" s="10">
        <v>0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3">
        <f t="shared" ref="L18:L26" si="0">SUM(B18:K18)</f>
        <v>1</v>
      </c>
      <c r="M18" s="5" t="s">
        <v>0</v>
      </c>
      <c r="N18" s="5">
        <v>1</v>
      </c>
    </row>
    <row r="19" spans="1:18" x14ac:dyDescent="0.15">
      <c r="A19" s="7">
        <v>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1</v>
      </c>
      <c r="J19" s="10">
        <v>0</v>
      </c>
      <c r="K19" s="10">
        <v>0</v>
      </c>
      <c r="L19" s="13">
        <f t="shared" si="0"/>
        <v>1</v>
      </c>
      <c r="M19" s="5" t="s">
        <v>0</v>
      </c>
      <c r="N19" s="5">
        <v>1</v>
      </c>
    </row>
    <row r="20" spans="1:18" x14ac:dyDescent="0.15">
      <c r="A20" s="7">
        <v>4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1</v>
      </c>
      <c r="K20" s="10">
        <v>0</v>
      </c>
      <c r="L20" s="13">
        <f t="shared" si="0"/>
        <v>1</v>
      </c>
      <c r="M20" s="5" t="s">
        <v>0</v>
      </c>
      <c r="N20" s="5">
        <v>1</v>
      </c>
    </row>
    <row r="21" spans="1:18" x14ac:dyDescent="0.15">
      <c r="A21" s="7">
        <v>5</v>
      </c>
      <c r="B21" s="10">
        <v>0</v>
      </c>
      <c r="C21" s="10">
        <v>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3">
        <f t="shared" si="0"/>
        <v>1</v>
      </c>
      <c r="M21" s="5" t="s">
        <v>0</v>
      </c>
      <c r="N21" s="5">
        <v>1</v>
      </c>
    </row>
    <row r="22" spans="1:18" x14ac:dyDescent="0.15">
      <c r="A22" s="7">
        <v>6</v>
      </c>
      <c r="B22" s="10">
        <v>0</v>
      </c>
      <c r="C22" s="10">
        <v>0</v>
      </c>
      <c r="D22" s="10">
        <v>1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3">
        <f t="shared" si="0"/>
        <v>1</v>
      </c>
      <c r="M22" s="5" t="s">
        <v>0</v>
      </c>
      <c r="N22" s="5">
        <v>1</v>
      </c>
    </row>
    <row r="23" spans="1:18" x14ac:dyDescent="0.15">
      <c r="A23" s="7">
        <v>7</v>
      </c>
      <c r="B23" s="10">
        <v>0</v>
      </c>
      <c r="C23" s="10">
        <v>0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3">
        <f t="shared" si="0"/>
        <v>1</v>
      </c>
      <c r="M23" s="5" t="s">
        <v>0</v>
      </c>
      <c r="N23" s="5">
        <v>1</v>
      </c>
    </row>
    <row r="24" spans="1:18" x14ac:dyDescent="0.15">
      <c r="A24" s="7">
        <v>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3">
        <f t="shared" si="0"/>
        <v>1</v>
      </c>
      <c r="M24" s="5" t="s">
        <v>0</v>
      </c>
      <c r="N24" s="5">
        <v>1</v>
      </c>
    </row>
    <row r="25" spans="1:18" x14ac:dyDescent="0.15">
      <c r="A25" s="7">
        <v>9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1</v>
      </c>
      <c r="L25" s="13">
        <f t="shared" si="0"/>
        <v>1</v>
      </c>
      <c r="M25" s="5" t="s">
        <v>0</v>
      </c>
      <c r="N25" s="5">
        <v>1</v>
      </c>
    </row>
    <row r="26" spans="1:18" x14ac:dyDescent="0.15">
      <c r="A26" s="7">
        <v>10</v>
      </c>
      <c r="B26" s="10">
        <v>1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3">
        <f t="shared" si="0"/>
        <v>1</v>
      </c>
      <c r="M26" s="5" t="s">
        <v>0</v>
      </c>
      <c r="N26" s="5">
        <v>1</v>
      </c>
    </row>
    <row r="27" spans="1:18" x14ac:dyDescent="0.15">
      <c r="A27" s="11"/>
      <c r="B27" s="14">
        <f>SUM(B17:B26)</f>
        <v>1</v>
      </c>
      <c r="C27" s="14">
        <f t="shared" ref="C27:K27" si="1">SUM(C17:C26)</f>
        <v>1</v>
      </c>
      <c r="D27" s="14">
        <f t="shared" si="1"/>
        <v>1</v>
      </c>
      <c r="E27" s="14">
        <f t="shared" si="1"/>
        <v>1</v>
      </c>
      <c r="F27" s="14">
        <f t="shared" si="1"/>
        <v>1</v>
      </c>
      <c r="G27" s="14">
        <f t="shared" si="1"/>
        <v>1</v>
      </c>
      <c r="H27" s="14">
        <f t="shared" si="1"/>
        <v>1</v>
      </c>
      <c r="I27" s="14">
        <f t="shared" si="1"/>
        <v>1</v>
      </c>
      <c r="J27" s="14">
        <f t="shared" si="1"/>
        <v>1</v>
      </c>
      <c r="K27" s="14">
        <f t="shared" si="1"/>
        <v>1</v>
      </c>
    </row>
    <row r="28" spans="1:18" x14ac:dyDescent="0.15">
      <c r="A28" s="11"/>
      <c r="B28" s="12" t="s">
        <v>0</v>
      </c>
      <c r="C28" s="12" t="s">
        <v>0</v>
      </c>
      <c r="D28" s="12" t="s">
        <v>0</v>
      </c>
      <c r="E28" s="12" t="s">
        <v>0</v>
      </c>
      <c r="F28" s="12" t="s">
        <v>0</v>
      </c>
      <c r="G28" s="12" t="s">
        <v>0</v>
      </c>
      <c r="H28" s="12" t="s">
        <v>0</v>
      </c>
      <c r="I28" s="12" t="s">
        <v>0</v>
      </c>
      <c r="J28" s="12" t="s">
        <v>0</v>
      </c>
      <c r="K28" s="12" t="s">
        <v>0</v>
      </c>
    </row>
    <row r="29" spans="1:18" x14ac:dyDescent="0.15">
      <c r="A29" s="11"/>
      <c r="B29" s="12">
        <v>1</v>
      </c>
      <c r="C29" s="12">
        <v>1</v>
      </c>
      <c r="D29" s="12">
        <v>1</v>
      </c>
      <c r="E29" s="12">
        <v>1</v>
      </c>
      <c r="F29" s="12">
        <v>1</v>
      </c>
      <c r="G29" s="12">
        <v>1</v>
      </c>
      <c r="H29" s="12">
        <v>1</v>
      </c>
      <c r="I29" s="12">
        <v>1</v>
      </c>
      <c r="J29" s="12">
        <v>1</v>
      </c>
      <c r="K29" s="12">
        <v>1</v>
      </c>
    </row>
    <row r="30" spans="1:18" x14ac:dyDescent="0.15">
      <c r="A30" s="11"/>
      <c r="B30" s="12" t="s">
        <v>37</v>
      </c>
      <c r="C30" s="15">
        <f>SUMPRODUCT(B17:K26,B4:K13)</f>
        <v>145</v>
      </c>
      <c r="D30" s="12"/>
      <c r="E30" s="12"/>
      <c r="F30" s="12"/>
      <c r="G30" s="12"/>
      <c r="H30" s="12"/>
      <c r="I30" s="12"/>
      <c r="J30" s="12"/>
      <c r="K30" s="12"/>
    </row>
    <row r="31" spans="1:18" x14ac:dyDescent="0.1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8" x14ac:dyDescent="0.1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15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tabSelected="1" zoomScale="190" zoomScaleNormal="190" workbookViewId="0">
      <selection activeCell="G10" sqref="G10"/>
    </sheetView>
  </sheetViews>
  <sheetFormatPr baseColWidth="10" defaultColWidth="8.83203125" defaultRowHeight="15" x14ac:dyDescent="0.2"/>
  <cols>
    <col min="3" max="3" width="11" customWidth="1"/>
    <col min="4" max="4" width="12.33203125" customWidth="1"/>
    <col min="5" max="5" width="15" customWidth="1"/>
    <col min="6" max="6" width="12.33203125" customWidth="1"/>
  </cols>
  <sheetData>
    <row r="1" spans="1:9" x14ac:dyDescent="0.2">
      <c r="A1" t="s">
        <v>8</v>
      </c>
    </row>
    <row r="2" spans="1:9" x14ac:dyDescent="0.2">
      <c r="A2" t="s">
        <v>36</v>
      </c>
    </row>
    <row r="3" spans="1:9" x14ac:dyDescent="0.2">
      <c r="A3" t="s">
        <v>1</v>
      </c>
      <c r="B3" t="s">
        <v>2</v>
      </c>
      <c r="C3" t="s">
        <v>16</v>
      </c>
      <c r="D3" t="s">
        <v>17</v>
      </c>
      <c r="E3" t="s">
        <v>3</v>
      </c>
      <c r="F3" t="s">
        <v>4</v>
      </c>
      <c r="G3" t="s">
        <v>18</v>
      </c>
      <c r="I3" t="s">
        <v>19</v>
      </c>
    </row>
    <row r="4" spans="1:9" x14ac:dyDescent="0.2">
      <c r="A4" t="s">
        <v>9</v>
      </c>
      <c r="B4" t="s">
        <v>10</v>
      </c>
      <c r="C4">
        <v>425</v>
      </c>
      <c r="D4">
        <v>125</v>
      </c>
      <c r="E4" s="1">
        <v>125</v>
      </c>
      <c r="F4" t="s">
        <v>9</v>
      </c>
      <c r="G4" s="2">
        <f>SUM(E4:E5)</f>
        <v>200</v>
      </c>
      <c r="H4" t="s">
        <v>0</v>
      </c>
      <c r="I4">
        <v>200</v>
      </c>
    </row>
    <row r="5" spans="1:9" x14ac:dyDescent="0.2">
      <c r="A5" t="s">
        <v>9</v>
      </c>
      <c r="B5" t="s">
        <v>11</v>
      </c>
      <c r="C5">
        <v>560</v>
      </c>
      <c r="D5">
        <v>150</v>
      </c>
      <c r="E5" s="1">
        <v>75</v>
      </c>
      <c r="F5" t="s">
        <v>12</v>
      </c>
      <c r="G5" s="2">
        <f>SUM(E6:E7)</f>
        <v>300</v>
      </c>
      <c r="H5" t="s">
        <v>0</v>
      </c>
      <c r="I5">
        <v>300</v>
      </c>
    </row>
    <row r="6" spans="1:9" x14ac:dyDescent="0.2">
      <c r="A6" t="s">
        <v>12</v>
      </c>
      <c r="B6" t="s">
        <v>10</v>
      </c>
      <c r="C6">
        <v>510</v>
      </c>
      <c r="D6">
        <v>175</v>
      </c>
      <c r="E6" s="1">
        <v>125</v>
      </c>
      <c r="F6" t="s">
        <v>10</v>
      </c>
      <c r="G6" s="2">
        <f>SUM(E8:E10)-E4-E6</f>
        <v>0</v>
      </c>
      <c r="H6" t="s">
        <v>0</v>
      </c>
      <c r="I6">
        <v>0</v>
      </c>
    </row>
    <row r="7" spans="1:9" x14ac:dyDescent="0.2">
      <c r="A7" t="s">
        <v>12</v>
      </c>
      <c r="B7" t="s">
        <v>11</v>
      </c>
      <c r="C7">
        <v>600</v>
      </c>
      <c r="D7">
        <v>200</v>
      </c>
      <c r="E7" s="1">
        <v>175</v>
      </c>
      <c r="F7" t="s">
        <v>11</v>
      </c>
      <c r="G7" s="2">
        <f>SUM(E11:E13)-E5-E7</f>
        <v>0</v>
      </c>
      <c r="H7" t="s">
        <v>0</v>
      </c>
      <c r="I7">
        <v>0</v>
      </c>
    </row>
    <row r="8" spans="1:9" x14ac:dyDescent="0.2">
      <c r="A8" t="s">
        <v>10</v>
      </c>
      <c r="B8" t="s">
        <v>13</v>
      </c>
      <c r="C8">
        <v>470</v>
      </c>
      <c r="D8">
        <v>100</v>
      </c>
      <c r="E8" s="1">
        <v>100</v>
      </c>
      <c r="F8" t="s">
        <v>13</v>
      </c>
      <c r="G8" s="2">
        <f>-SUM(E8,E11)</f>
        <v>-150</v>
      </c>
      <c r="H8" t="s">
        <v>0</v>
      </c>
      <c r="I8">
        <v>-150</v>
      </c>
    </row>
    <row r="9" spans="1:9" x14ac:dyDescent="0.2">
      <c r="A9" t="s">
        <v>10</v>
      </c>
      <c r="B9" t="s">
        <v>14</v>
      </c>
      <c r="C9">
        <v>505</v>
      </c>
      <c r="D9">
        <v>150</v>
      </c>
      <c r="E9" s="1">
        <v>50</v>
      </c>
      <c r="F9" t="s">
        <v>14</v>
      </c>
      <c r="G9" s="2">
        <f>-SUM(E9,E12)</f>
        <v>-200</v>
      </c>
      <c r="H9" t="s">
        <v>0</v>
      </c>
      <c r="I9">
        <v>-200</v>
      </c>
    </row>
    <row r="10" spans="1:9" x14ac:dyDescent="0.2">
      <c r="A10" t="s">
        <v>10</v>
      </c>
      <c r="B10" t="s">
        <v>15</v>
      </c>
      <c r="C10">
        <v>490</v>
      </c>
      <c r="D10">
        <v>100</v>
      </c>
      <c r="E10" s="1">
        <v>100</v>
      </c>
      <c r="F10" t="s">
        <v>15</v>
      </c>
      <c r="G10" s="2">
        <f>-SUM(E10,E13)</f>
        <v>-150</v>
      </c>
      <c r="H10" t="s">
        <v>0</v>
      </c>
      <c r="I10">
        <v>-150</v>
      </c>
    </row>
    <row r="11" spans="1:9" x14ac:dyDescent="0.2">
      <c r="A11" t="s">
        <v>11</v>
      </c>
      <c r="B11" t="s">
        <v>13</v>
      </c>
      <c r="C11">
        <v>390</v>
      </c>
      <c r="D11">
        <v>125</v>
      </c>
      <c r="E11" s="1">
        <v>50</v>
      </c>
    </row>
    <row r="12" spans="1:9" x14ac:dyDescent="0.2">
      <c r="A12" t="s">
        <v>11</v>
      </c>
      <c r="B12" t="s">
        <v>14</v>
      </c>
      <c r="C12">
        <v>410</v>
      </c>
      <c r="D12">
        <v>150</v>
      </c>
      <c r="E12" s="1">
        <v>150</v>
      </c>
    </row>
    <row r="13" spans="1:9" x14ac:dyDescent="0.2">
      <c r="A13" t="s">
        <v>11</v>
      </c>
      <c r="B13" t="s">
        <v>15</v>
      </c>
      <c r="C13">
        <v>440</v>
      </c>
      <c r="D13">
        <v>75</v>
      </c>
      <c r="E13" s="1">
        <v>50</v>
      </c>
    </row>
    <row r="15" spans="1:9" x14ac:dyDescent="0.2">
      <c r="B15" t="s">
        <v>6</v>
      </c>
      <c r="C15" s="3">
        <f>SUMPRODUCT(E4:E13,C4:C13)</f>
        <v>488125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2 Transportation</vt:lpstr>
      <vt:lpstr>Task 3 Assignment</vt:lpstr>
      <vt:lpstr>Task 4 MAKONSEL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2026-02-11T17:32:33Z</dcterms:modified>
</cp:coreProperties>
</file>