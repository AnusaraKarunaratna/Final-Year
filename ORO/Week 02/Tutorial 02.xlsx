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sara/Desktop/ORO/Week 02/"/>
    </mc:Choice>
  </mc:AlternateContent>
  <xr:revisionPtr revIDLastSave="0" documentId="13_ncr:1_{A84E5ABF-72F4-0644-8B8A-4324A95C66D0}" xr6:coauthVersionLast="47" xr6:coauthVersionMax="47" xr10:uidLastSave="{00000000-0000-0000-0000-000000000000}"/>
  <bookViews>
    <workbookView xWindow="780" yWindow="1100" windowWidth="27640" windowHeight="16340" xr2:uid="{C08246FB-7D88-604C-8A80-AD8E6A5CA9DB}"/>
  </bookViews>
  <sheets>
    <sheet name="Sensitivity Report 1" sheetId="3" r:id="rId1"/>
    <sheet name="Task 01" sheetId="1" r:id="rId2"/>
    <sheet name="Sheet2" sheetId="2" r:id="rId3"/>
  </sheets>
  <definedNames>
    <definedName name="solver_adj" localSheetId="1" hidden="1">'Task 01'!$B$7:$D$7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'Task 01'!$E$2</definedName>
    <definedName name="solver_lhs2" localSheetId="1" hidden="1">'Task 01'!$E$3</definedName>
    <definedName name="solver_lhs3" localSheetId="1" hidden="1">'Task 01'!$E$4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opt" localSheetId="1" hidden="1">'Task 01'!$B$9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hs1" localSheetId="1" hidden="1">'Task 01'!$G$2</definedName>
    <definedName name="solver_rhs2" localSheetId="1" hidden="1">'Task 01'!$G$3</definedName>
    <definedName name="solver_rhs3" localSheetId="1" hidden="1">'Task 01'!$G$4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  <c r="B9" i="1"/>
</calcChain>
</file>

<file path=xl/sharedStrings.xml><?xml version="1.0" encoding="utf-8"?>
<sst xmlns="http://schemas.openxmlformats.org/spreadsheetml/2006/main" count="54" uniqueCount="40">
  <si>
    <t>Milk</t>
  </si>
  <si>
    <t>Sugar</t>
  </si>
  <si>
    <t>Cream</t>
  </si>
  <si>
    <t>Chocolate</t>
  </si>
  <si>
    <t>Vanila</t>
  </si>
  <si>
    <t>Banana</t>
  </si>
  <si>
    <t>&lt;=</t>
  </si>
  <si>
    <t>Used Resources</t>
  </si>
  <si>
    <t>Avaialable Resources</t>
  </si>
  <si>
    <t xml:space="preserve">Profit </t>
  </si>
  <si>
    <t>Obj</t>
  </si>
  <si>
    <t>Microsoft Excel 16.53 Sensitivity Report</t>
  </si>
  <si>
    <t>Worksheet: [Tutorial 02.xlsx]Task 01</t>
  </si>
  <si>
    <t>Report Created: 2026-02-09 21:09:04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</si>
  <si>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</si>
  <si>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</si>
  <si>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</si>
  <si>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</si>
  <si>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</si>
  <si>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</si>
  <si>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</si>
  <si>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</si>
  <si>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</si>
  <si>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</si>
  <si>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</si>
  <si>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</si>
  <si>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</si>
  <si>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</si>
  <si>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</si>
  <si>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</si>
  <si>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</si>
  <si>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$B$7</t>
  </si>
  <si>
    <t>$C$7</t>
  </si>
  <si>
    <t>$D$7</t>
  </si>
  <si>
    <t>$E$2</t>
  </si>
  <si>
    <t>Milk Used Resources</t>
  </si>
  <si>
    <t>$E$3</t>
  </si>
  <si>
    <t>Sugar Used Resources</t>
  </si>
  <si>
    <t>$E$4</t>
  </si>
  <si>
    <t>Cream Used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</si>
</sst>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26FD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6FD1"/>
      <color rgb="FF9F399F"/>
      <color rgb="FF861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4A7-0A28-1848-B55B-1F602249D298}">
  <dimension ref="A1:K18"/>
  <sheetViews>
    <sheetView showGridLines="0" tabSelected="1" topLeftCell="A6" zoomScale="150" zoomScaleNormal="150" workbookViewId="0">
      <selection activeCell="E17" sqref="E17"/>
    </sheetView>
  </sheetViews>
  <sheetFormatPr baseColWidth="10" defaultRowHeight="16" x14ac:dyDescent="0.2"/>
  <cols>
    <col min="1" max="1" width="2.33203125" customWidth="1"/>
    <col min="2" max="2" width="5.33203125" bestFit="1" customWidth="1"/>
    <col min="3" max="3" width="20.1640625" bestFit="1" customWidth="1"/>
    <col min="4" max="4" width="5.83203125" bestFit="1" customWidth="1"/>
    <col min="5" max="5" width="8.1640625" bestFit="1" customWidth="1"/>
    <col min="6" max="6" width="10" bestFit="1" customWidth="1"/>
    <col min="7" max="7" width="12.1640625" bestFit="1" customWidth="1"/>
    <col min="8" max="8" width="9.33203125" bestFit="1" customWidth="1"/>
  </cols>
  <sheetData>
    <row r="1" spans="1:11" x14ac:dyDescent="0.2">
      <c r="A1" s="3" t="s">
        <v>11</v>
      </c>
    </row>
    <row r="2" spans="1:11" x14ac:dyDescent="0.2">
      <c r="A2" s="3" t="s">
        <v>12</v>
      </c>
    </row>
    <row r="3" spans="1:11" x14ac:dyDescent="0.2">
      <c r="A3" s="3" t="s">
        <v>13</v>
      </c>
    </row>
    <row r="6" spans="1:11" ht="17" thickBot="1" x14ac:dyDescent="0.25">
      <c r="A6" t="s">
        <v>14</v>
      </c>
    </row>
    <row r="7" spans="1:11" x14ac:dyDescent="0.2">
      <c r="B7" s="6"/>
      <c r="C7" s="6"/>
      <c r="D7" s="6" t="s">
        <v>17</v>
      </c>
      <c r="E7" s="6" t="s">
        <v>19</v>
      </c>
      <c r="F7" s="6" t="s">
        <v>21</v>
      </c>
      <c r="G7" s="6" t="s">
        <v>23</v>
      </c>
      <c r="H7" s="6" t="s">
        <v>23</v>
      </c>
    </row>
    <row r="8" spans="1:11" ht="17" thickBot="1" x14ac:dyDescent="0.25">
      <c r="B8" s="7" t="s">
        <v>15</v>
      </c>
      <c r="C8" s="7" t="s">
        <v>16</v>
      </c>
      <c r="D8" s="7" t="s">
        <v>18</v>
      </c>
      <c r="E8" s="7" t="s">
        <v>20</v>
      </c>
      <c r="F8" s="7" t="s">
        <v>22</v>
      </c>
      <c r="G8" s="7" t="s">
        <v>24</v>
      </c>
      <c r="H8" s="7" t="s">
        <v>25</v>
      </c>
    </row>
    <row r="9" spans="1:11" x14ac:dyDescent="0.2">
      <c r="B9" s="4" t="s">
        <v>31</v>
      </c>
      <c r="C9" s="4" t="s">
        <v>3</v>
      </c>
      <c r="D9" s="4">
        <v>0</v>
      </c>
      <c r="E9" s="4">
        <v>-3.7500000000000228E-2</v>
      </c>
      <c r="F9" s="4">
        <v>1</v>
      </c>
      <c r="G9" s="4">
        <v>3.7500000000000228E-2</v>
      </c>
      <c r="H9" s="4">
        <v>1E+30</v>
      </c>
    </row>
    <row r="10" spans="1:11" x14ac:dyDescent="0.2">
      <c r="B10" s="4" t="s">
        <v>32</v>
      </c>
      <c r="C10" s="4" t="s">
        <v>4</v>
      </c>
      <c r="D10" s="4">
        <v>299.99999999999977</v>
      </c>
      <c r="E10" s="4">
        <v>0</v>
      </c>
      <c r="F10" s="4">
        <v>0.89999999999999991</v>
      </c>
      <c r="G10" s="4">
        <v>4.9999999999999815E-2</v>
      </c>
      <c r="H10" s="4">
        <v>1.2500000000000082E-2</v>
      </c>
    </row>
    <row r="11" spans="1:11" ht="17" thickBot="1" x14ac:dyDescent="0.25">
      <c r="B11" s="5" t="s">
        <v>33</v>
      </c>
      <c r="C11" s="5" t="s">
        <v>5</v>
      </c>
      <c r="D11" s="5">
        <v>75.000000000000199</v>
      </c>
      <c r="E11" s="5">
        <v>0</v>
      </c>
      <c r="F11" s="5">
        <v>0.94999999999999973</v>
      </c>
      <c r="G11" s="5">
        <v>2.1428571428571574E-2</v>
      </c>
      <c r="H11" s="5">
        <v>4.9999999999999815E-2</v>
      </c>
      <c r="J11">
        <v>0.97140000000000004</v>
      </c>
      <c r="K11">
        <v>0.9</v>
      </c>
    </row>
    <row r="13" spans="1:11" ht="17" thickBot="1" x14ac:dyDescent="0.25">
      <c r="A13" t="s">
        <v>26</v>
      </c>
    </row>
    <row r="14" spans="1:11" x14ac:dyDescent="0.2">
      <c r="B14" s="6"/>
      <c r="C14" s="6"/>
      <c r="D14" s="6" t="s">
        <v>17</v>
      </c>
      <c r="E14" s="6" t="s">
        <v>27</v>
      </c>
      <c r="F14" s="6" t="s">
        <v>29</v>
      </c>
      <c r="G14" s="6" t="s">
        <v>23</v>
      </c>
      <c r="H14" s="6" t="s">
        <v>23</v>
      </c>
    </row>
    <row r="15" spans="1:11" ht="17" thickBot="1" x14ac:dyDescent="0.25">
      <c r="B15" s="7" t="s">
        <v>15</v>
      </c>
      <c r="C15" s="7" t="s">
        <v>16</v>
      </c>
      <c r="D15" s="7" t="s">
        <v>18</v>
      </c>
      <c r="E15" s="7" t="s">
        <v>28</v>
      </c>
      <c r="F15" s="7" t="s">
        <v>30</v>
      </c>
      <c r="G15" s="7" t="s">
        <v>24</v>
      </c>
      <c r="H15" s="7" t="s">
        <v>25</v>
      </c>
    </row>
    <row r="16" spans="1:11" x14ac:dyDescent="0.2">
      <c r="B16" s="4" t="s">
        <v>34</v>
      </c>
      <c r="C16" s="4" t="s">
        <v>35</v>
      </c>
      <c r="D16" s="4">
        <v>179.99999999999997</v>
      </c>
      <c r="E16" s="4">
        <v>0</v>
      </c>
      <c r="F16" s="4">
        <v>200</v>
      </c>
      <c r="G16" s="4">
        <v>1E+30</v>
      </c>
      <c r="H16" s="4">
        <v>20.00000000000005</v>
      </c>
    </row>
    <row r="17" spans="2:8" x14ac:dyDescent="0.2">
      <c r="B17" s="4" t="s">
        <v>36</v>
      </c>
      <c r="C17" s="4" t="s">
        <v>37</v>
      </c>
      <c r="D17" s="4">
        <v>150</v>
      </c>
      <c r="E17" s="4">
        <v>1.8750000000000011</v>
      </c>
      <c r="F17" s="4">
        <v>150</v>
      </c>
      <c r="G17" s="4">
        <v>10.000000000000034</v>
      </c>
      <c r="H17" s="4">
        <v>29.999999999999989</v>
      </c>
    </row>
    <row r="18" spans="2:8" ht="17" thickBot="1" x14ac:dyDescent="0.25">
      <c r="B18" s="5" t="s">
        <v>38</v>
      </c>
      <c r="C18" s="5" t="s">
        <v>39</v>
      </c>
      <c r="D18" s="5">
        <v>60.000000000000014</v>
      </c>
      <c r="E18" s="5">
        <v>0.999999999999996</v>
      </c>
      <c r="F18" s="5">
        <v>60</v>
      </c>
      <c r="G18" s="5">
        <v>14.999999999999995</v>
      </c>
      <c r="H18" s="5">
        <v>3.7500000000000129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0BBE-00A4-4F4E-833A-2C208779BBAC}">
  <dimension ref="A1:G9"/>
  <sheetViews>
    <sheetView zoomScale="169" zoomScaleNormal="169" workbookViewId="0">
      <selection activeCell="C10" sqref="C10"/>
    </sheetView>
  </sheetViews>
  <sheetFormatPr baseColWidth="10" defaultRowHeight="16" x14ac:dyDescent="0.2"/>
  <cols>
    <col min="5" max="5" width="13.5" customWidth="1"/>
    <col min="6" max="6" width="5.33203125" customWidth="1"/>
    <col min="7" max="7" width="17.83203125" customWidth="1"/>
  </cols>
  <sheetData>
    <row r="1" spans="1:7" x14ac:dyDescent="0.2">
      <c r="B1" t="s">
        <v>3</v>
      </c>
      <c r="C1" t="s">
        <v>4</v>
      </c>
      <c r="D1" t="s">
        <v>5</v>
      </c>
      <c r="E1" t="s">
        <v>7</v>
      </c>
      <c r="G1" t="s">
        <v>8</v>
      </c>
    </row>
    <row r="2" spans="1:7" x14ac:dyDescent="0.2">
      <c r="A2" t="s">
        <v>0</v>
      </c>
      <c r="B2">
        <v>0.45</v>
      </c>
      <c r="C2">
        <v>0.5</v>
      </c>
      <c r="D2">
        <v>0.4</v>
      </c>
      <c r="E2" s="1">
        <f>SUMPRODUCT(B2:D2,B$7:D$7)</f>
        <v>179.99999999999997</v>
      </c>
      <c r="F2" t="s">
        <v>6</v>
      </c>
      <c r="G2">
        <v>200</v>
      </c>
    </row>
    <row r="3" spans="1:7" x14ac:dyDescent="0.2">
      <c r="A3" t="s">
        <v>1</v>
      </c>
      <c r="B3">
        <v>0.5</v>
      </c>
      <c r="C3">
        <v>0.4</v>
      </c>
      <c r="D3">
        <v>0.4</v>
      </c>
      <c r="E3" s="1">
        <f t="shared" ref="E3:E4" si="0">SUMPRODUCT(B3:D3,B$7:D$7)</f>
        <v>150</v>
      </c>
      <c r="F3" t="s">
        <v>6</v>
      </c>
      <c r="G3">
        <v>150</v>
      </c>
    </row>
    <row r="4" spans="1:7" x14ac:dyDescent="0.2">
      <c r="A4" t="s">
        <v>2</v>
      </c>
      <c r="B4">
        <v>0.1</v>
      </c>
      <c r="C4">
        <v>0.15</v>
      </c>
      <c r="D4">
        <v>0.2</v>
      </c>
      <c r="E4" s="1">
        <f t="shared" si="0"/>
        <v>60.000000000000014</v>
      </c>
      <c r="F4" t="s">
        <v>6</v>
      </c>
      <c r="G4">
        <v>60</v>
      </c>
    </row>
    <row r="6" spans="1:7" x14ac:dyDescent="0.2">
      <c r="A6" t="s">
        <v>9</v>
      </c>
      <c r="B6">
        <v>1</v>
      </c>
      <c r="C6">
        <v>0.9</v>
      </c>
      <c r="D6">
        <v>0.95</v>
      </c>
    </row>
    <row r="7" spans="1:7" x14ac:dyDescent="0.2">
      <c r="B7" s="2">
        <v>0</v>
      </c>
      <c r="C7" s="2">
        <v>299.99999999999977</v>
      </c>
      <c r="D7" s="2">
        <v>75.000000000000227</v>
      </c>
    </row>
    <row r="9" spans="1:7" x14ac:dyDescent="0.2">
      <c r="A9" t="s">
        <v>10</v>
      </c>
      <c r="B9" s="8">
        <f>SUMPRODUCT(B7:D7,B6:D6)</f>
        <v>341.25000000000006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6C76-77F9-6F44-B390-9AB82D9C9AE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Sensitivity Report 1</vt:lpstr>
      <vt:lpstr>Task 01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2026-02-09T15:29:04Z</dcterms:created>
  <dcterms:modified xsi:type="dcterms:W3CDTF">2026-04-04T20:49:12Z</dcterms:modified>
</cp:coreProperties>
</file>