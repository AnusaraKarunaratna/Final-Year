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ara/Desktop/ORO/"/>
    </mc:Choice>
  </mc:AlternateContent>
  <xr:revisionPtr revIDLastSave="0" documentId="13_ncr:1_{826656D8-4327-9A4A-A937-8D026997BDE8}" xr6:coauthVersionLast="47" xr6:coauthVersionMax="47" xr10:uidLastSave="{00000000-0000-0000-0000-000000000000}"/>
  <bookViews>
    <workbookView xWindow="380" yWindow="600" windowWidth="28040" windowHeight="16840" activeTab="1" xr2:uid="{8E75FE43-67CB-3747-AB37-D6EB88ADA068}"/>
  </bookViews>
  <sheets>
    <sheet name="Task 2" sheetId="7" r:id="rId1"/>
    <sheet name="Task 3" sheetId="8" r:id="rId2"/>
    <sheet name="Task 1" sheetId="6" r:id="rId3"/>
    <sheet name="Sheet1" sheetId="1" r:id="rId4"/>
    <sheet name="Sheet2" sheetId="2" r:id="rId5"/>
    <sheet name="Answer Report 1" sheetId="4" r:id="rId6"/>
    <sheet name="Sensitivity Report 1" sheetId="5" r:id="rId7"/>
    <sheet name="Tutorial 02" sheetId="3" r:id="rId8"/>
  </sheets>
  <definedNames>
    <definedName name="solver_adj" localSheetId="3" hidden="1">Sheet1!$B$7:$C$7</definedName>
    <definedName name="solver_adj" localSheetId="2" hidden="1">'Task 1'!$B$8:$C$8</definedName>
    <definedName name="solver_adj" localSheetId="0" hidden="1">'Task 2'!$B$7:$D$7</definedName>
    <definedName name="solver_adj" localSheetId="1" hidden="1">'Task 3'!$B$2:$D$4</definedName>
    <definedName name="solver_adj" localSheetId="7" hidden="1">'Tutorial 02'!$B$6:$D$6</definedName>
    <definedName name="solver_cvg" localSheetId="3" hidden="1">0.0001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cvg" localSheetId="7" hidden="1">0.0001</definedName>
    <definedName name="solver_drv" localSheetId="3" hidden="1">1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drv" localSheetId="7" hidden="1">1</definedName>
    <definedName name="solver_eng" localSheetId="3" hidden="1">2</definedName>
    <definedName name="solver_eng" localSheetId="2" hidden="1">2</definedName>
    <definedName name="solver_eng" localSheetId="0" hidden="1">2</definedName>
    <definedName name="solver_eng" localSheetId="1" hidden="1">2</definedName>
    <definedName name="solver_eng" localSheetId="7" hidden="1">2</definedName>
    <definedName name="solver_itr" localSheetId="3" hidden="1">2147483647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itr" localSheetId="7" hidden="1">2147483647</definedName>
    <definedName name="solver_lhs1" localSheetId="3" hidden="1">Sheet1!$D$2</definedName>
    <definedName name="solver_lhs1" localSheetId="2" hidden="1">'Task 1'!$D$2</definedName>
    <definedName name="solver_lhs1" localSheetId="0" hidden="1">'Task 2'!$E$2</definedName>
    <definedName name="solver_lhs1" localSheetId="1" hidden="1">'Task 3'!$B$10</definedName>
    <definedName name="solver_lhs1" localSheetId="7" hidden="1">'Tutorial 02'!$E$2:$E$4</definedName>
    <definedName name="solver_lhs2" localSheetId="3" hidden="1">Sheet1!$D$3</definedName>
    <definedName name="solver_lhs2" localSheetId="2" hidden="1">'Task 1'!$D$3</definedName>
    <definedName name="solver_lhs2" localSheetId="0" hidden="1">'Task 2'!$E$3</definedName>
    <definedName name="solver_lhs2" localSheetId="1" hidden="1">'Task 3'!$B$10</definedName>
    <definedName name="solver_lhs3" localSheetId="3" hidden="1">Sheet1!$D$4</definedName>
    <definedName name="solver_lhs3" localSheetId="2" hidden="1">'Task 1'!$D$4</definedName>
    <definedName name="solver_lhs3" localSheetId="1" hidden="1">'Task 3'!$B$5:$D$5</definedName>
    <definedName name="solver_lhs4" localSheetId="1" hidden="1">'Task 3'!$B$7:$D$7</definedName>
    <definedName name="solver_lhs5" localSheetId="1" hidden="1">'Task 3'!$C$10</definedName>
    <definedName name="solver_lhs6" localSheetId="1" hidden="1">'Task 3'!$E$2:$E$4</definedName>
    <definedName name="solver_lin" localSheetId="3" hidden="1">1</definedName>
    <definedName name="solver_lin" localSheetId="2" hidden="1">1</definedName>
    <definedName name="solver_lin" localSheetId="0" hidden="1">1</definedName>
    <definedName name="solver_lin" localSheetId="1" hidden="1">1</definedName>
    <definedName name="solver_lin" localSheetId="7" hidden="1">1</definedName>
    <definedName name="solver_mip" localSheetId="3" hidden="1">2147483647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7" hidden="1">2147483647</definedName>
    <definedName name="solver_mni" localSheetId="3" hidden="1">30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ni" localSheetId="7" hidden="1">30</definedName>
    <definedName name="solver_mrt" localSheetId="3" hidden="1">0.075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rt" localSheetId="7" hidden="1">0.075</definedName>
    <definedName name="solver_msl" localSheetId="3" hidden="1">2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msl" localSheetId="7" hidden="1">2</definedName>
    <definedName name="solver_neg" localSheetId="3" hidden="1">1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eg" localSheetId="7" hidden="1">1</definedName>
    <definedName name="solver_nod" localSheetId="3" hidden="1">2147483647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od" localSheetId="7" hidden="1">2147483647</definedName>
    <definedName name="solver_num" localSheetId="3" hidden="1">3</definedName>
    <definedName name="solver_num" localSheetId="2" hidden="1">3</definedName>
    <definedName name="solver_num" localSheetId="0" hidden="1">2</definedName>
    <definedName name="solver_num" localSheetId="1" hidden="1">6</definedName>
    <definedName name="solver_num" localSheetId="7" hidden="1">1</definedName>
    <definedName name="solver_opt" localSheetId="3" hidden="1">Sheet1!$D$12</definedName>
    <definedName name="solver_opt" localSheetId="2" hidden="1">'Task 1'!$D$10</definedName>
    <definedName name="solver_opt" localSheetId="0" hidden="1">'Task 2'!$D$9</definedName>
    <definedName name="solver_opt" localSheetId="1" hidden="1">'Task 3'!$B$9</definedName>
    <definedName name="solver_opt" localSheetId="7" hidden="1">'Tutorial 02'!$C$9</definedName>
    <definedName name="solver_pre" localSheetId="3" hidden="1">0.000001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pre" localSheetId="7" hidden="1">0.000001</definedName>
    <definedName name="solver_rbv" localSheetId="3" hidden="1">1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bv" localSheetId="7" hidden="1">1</definedName>
    <definedName name="solver_rel1" localSheetId="3" hidden="1">1</definedName>
    <definedName name="solver_rel1" localSheetId="2" hidden="1">1</definedName>
    <definedName name="solver_rel1" localSheetId="0" hidden="1">1</definedName>
    <definedName name="solver_rel1" localSheetId="1" hidden="1">2</definedName>
    <definedName name="solver_rel1" localSheetId="7" hidden="1">1</definedName>
    <definedName name="solver_rel2" localSheetId="3" hidden="1">1</definedName>
    <definedName name="solver_rel2" localSheetId="2" hidden="1">1</definedName>
    <definedName name="solver_rel2" localSheetId="0" hidden="1">1</definedName>
    <definedName name="solver_rel2" localSheetId="1" hidden="1">2</definedName>
    <definedName name="solver_rel3" localSheetId="3" hidden="1">1</definedName>
    <definedName name="solver_rel3" localSheetId="2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3" hidden="1">Sheet1!$E$2</definedName>
    <definedName name="solver_rhs1" localSheetId="2" hidden="1">'Task 1'!$E$2</definedName>
    <definedName name="solver_rhs1" localSheetId="0" hidden="1">'Task 2'!$F$2</definedName>
    <definedName name="solver_rhs1" localSheetId="1" hidden="1">'Task 3'!$C$10</definedName>
    <definedName name="solver_rhs1" localSheetId="7" hidden="1">'Tutorial 02'!$G$2:$G$4</definedName>
    <definedName name="solver_rhs2" localSheetId="3" hidden="1">Sheet1!$E$3</definedName>
    <definedName name="solver_rhs2" localSheetId="2" hidden="1">'Task 1'!$E$3</definedName>
    <definedName name="solver_rhs2" localSheetId="0" hidden="1">'Task 2'!$F$3</definedName>
    <definedName name="solver_rhs2" localSheetId="1" hidden="1">'Task 3'!$D$10</definedName>
    <definedName name="solver_rhs3" localSheetId="3" hidden="1">Sheet1!$E$4</definedName>
    <definedName name="solver_rhs3" localSheetId="2" hidden="1">'Task 1'!$E$4</definedName>
    <definedName name="solver_rhs3" localSheetId="1" hidden="1">'Task 3'!$B$6:$D$6</definedName>
    <definedName name="solver_rhs4" localSheetId="1" hidden="1">'Task 3'!$B$8:$D$8</definedName>
    <definedName name="solver_rhs5" localSheetId="1" hidden="1">'Task 3'!$D$10</definedName>
    <definedName name="solver_rhs6" localSheetId="1" hidden="1">'Task 3'!$F$2:$F$4</definedName>
    <definedName name="solver_rlx" localSheetId="3" hidden="1">1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lx" localSheetId="7" hidden="1">1</definedName>
    <definedName name="solver_rsd" localSheetId="3" hidden="1">0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d" localSheetId="7" hidden="1">0</definedName>
    <definedName name="solver_scl" localSheetId="3" hidden="1">2</definedName>
    <definedName name="solver_scl" localSheetId="2" hidden="1">1</definedName>
    <definedName name="solver_scl" localSheetId="0" hidden="1">1</definedName>
    <definedName name="solver_scl" localSheetId="1" hidden="1">1</definedName>
    <definedName name="solver_scl" localSheetId="7" hidden="1">2</definedName>
    <definedName name="solver_sho" localSheetId="3" hidden="1">2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ho" localSheetId="7" hidden="1">2</definedName>
    <definedName name="solver_ssz" localSheetId="3" hidden="1">100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sz" localSheetId="7" hidden="1">100</definedName>
    <definedName name="solver_tim" localSheetId="3" hidden="1">2147483647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im" localSheetId="7" hidden="1">2147483647</definedName>
    <definedName name="solver_tol" localSheetId="3" hidden="1">0.01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ol" localSheetId="7" hidden="1">0.01</definedName>
    <definedName name="solver_typ" localSheetId="3" hidden="1">1</definedName>
    <definedName name="solver_typ" localSheetId="2" hidden="1">1</definedName>
    <definedName name="solver_typ" localSheetId="0" hidden="1">1</definedName>
    <definedName name="solver_typ" localSheetId="1" hidden="1">1</definedName>
    <definedName name="solver_typ" localSheetId="7" hidden="1">1</definedName>
    <definedName name="solver_val" localSheetId="3" hidden="1">0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l" localSheetId="7" hidden="1">0</definedName>
    <definedName name="solver_ver" localSheetId="3" hidden="1">2</definedName>
    <definedName name="solver_ver" localSheetId="2" hidden="1">2</definedName>
    <definedName name="solver_ver" localSheetId="0" hidden="1">2</definedName>
    <definedName name="solver_ver" localSheetId="1" hidden="1">2</definedName>
    <definedName name="solver_ver" localSheetId="7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C7" i="8"/>
  <c r="D7" i="8"/>
  <c r="B7" i="8"/>
  <c r="C5" i="8"/>
  <c r="C10" i="8" s="1"/>
  <c r="D5" i="8"/>
  <c r="D10" i="8" s="1"/>
  <c r="B5" i="8"/>
  <c r="B10" i="8" s="1"/>
  <c r="E3" i="8"/>
  <c r="E4" i="8"/>
  <c r="E2" i="8"/>
  <c r="E3" i="7"/>
  <c r="E2" i="7"/>
  <c r="D9" i="7"/>
  <c r="D3" i="6"/>
  <c r="D4" i="6"/>
  <c r="D2" i="6"/>
  <c r="D10" i="6"/>
  <c r="E3" i="3"/>
  <c r="E4" i="3"/>
  <c r="E2" i="3"/>
  <c r="C9" i="3"/>
  <c r="D7" i="2"/>
  <c r="C7" i="2"/>
  <c r="B7" i="2"/>
  <c r="C5" i="2"/>
  <c r="D5" i="2"/>
  <c r="B5" i="2"/>
  <c r="E3" i="2"/>
  <c r="E4" i="2"/>
  <c r="E2" i="2"/>
  <c r="D12" i="1"/>
  <c r="D3" i="1"/>
  <c r="D4" i="1"/>
  <c r="D2" i="1"/>
</calcChain>
</file>

<file path=xl/sharedStrings.xml><?xml version="1.0" encoding="utf-8"?>
<sst xmlns="http://schemas.openxmlformats.org/spreadsheetml/2006/main" count="161" uniqueCount="110">
  <si>
    <t>Resources</t>
  </si>
  <si>
    <t>Activity1</t>
  </si>
  <si>
    <t>Activity2</t>
  </si>
  <si>
    <t>Available Resources</t>
  </si>
  <si>
    <t>Contribution per unit of activity</t>
  </si>
  <si>
    <t>Used Resources</t>
  </si>
  <si>
    <t xml:space="preserve">Obj </t>
  </si>
  <si>
    <t>D.V</t>
  </si>
  <si>
    <t>Region1</t>
  </si>
  <si>
    <t>Region3</t>
  </si>
  <si>
    <t>Region2</t>
  </si>
  <si>
    <t>Sugar Beats</t>
  </si>
  <si>
    <t>Cotton</t>
  </si>
  <si>
    <t>Corn</t>
  </si>
  <si>
    <t>Maximum Quota</t>
  </si>
  <si>
    <t>Usable Land</t>
  </si>
  <si>
    <t>Water Allocation</t>
  </si>
  <si>
    <t>Used Quota</t>
  </si>
  <si>
    <t>Used Land</t>
  </si>
  <si>
    <t>W.C./Acre</t>
  </si>
  <si>
    <t>Milk</t>
  </si>
  <si>
    <t>Sugar</t>
  </si>
  <si>
    <t>Cream</t>
  </si>
  <si>
    <t>Chocolate</t>
  </si>
  <si>
    <t>Vanila</t>
  </si>
  <si>
    <t>Banana</t>
  </si>
  <si>
    <t>X1</t>
  </si>
  <si>
    <t>X2</t>
  </si>
  <si>
    <t>X3</t>
  </si>
  <si>
    <t>Obj Func</t>
  </si>
  <si>
    <t>&lt;=</t>
  </si>
  <si>
    <t>Profit</t>
  </si>
  <si>
    <t>Microsoft Excel 16.53 Answer Report</t>
  </si>
  <si>
    <t>Worksheet: [Book1.xlsx]Tutorial 02</t>
  </si>
  <si>
    <t>Report Created: 2026-02-06 14:34:18</t>
  </si>
  <si>
    <t>Result: Solver found a solution.  All constraints and optimality conditions are satisfied.</t>
  </si>
  <si>
    <t>Solver Engine</t>
  </si>
  <si>
    <t>Engine: Simplex LP</t>
  </si>
  <si>
    <t>Solution Time: 424.65 Seconds.</t>
  </si>
  <si>
    <t>Iterations: 3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</si>
  <si>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</si>
  <si>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</si>
  <si>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</si>
  <si>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</si>
  <si>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</si>
  <si>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</si>
  <si>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</si>
  <si>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</si>
  <si>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</si>
  <si>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</si>
  <si>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</si>
  <si>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</si>
  <si>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</si>
  <si>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</si>
  <si>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</si>
  <si>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$C$9</t>
  </si>
  <si>
    <t>Obj Func X2</t>
  </si>
  <si>
    <t>$B$6</t>
  </si>
  <si>
    <t>Contin</t>
  </si>
  <si>
    <t>$C$6</t>
  </si>
  <si>
    <t>$D$6</t>
  </si>
  <si>
    <t>$E$2</t>
  </si>
  <si>
    <t>$E$2&lt;=$G$2</t>
  </si>
  <si>
    <t>Not Binding</t>
  </si>
  <si>
    <t>$E$3</t>
  </si>
  <si>
    <t>$E$3&lt;=$G$3</t>
  </si>
  <si>
    <t>Binding</t>
  </si>
  <si>
    <t>$E$4</t>
  </si>
  <si>
    <t>$E$4&lt;=$G$4</t>
  </si>
  <si>
    <t>Microsoft Excel 16.53 Sensitivity Report</t>
  </si>
  <si>
    <t>Report Created: 2026-02-06 14:34:19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</si>
  <si>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</si>
  <si>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</si>
  <si>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</si>
  <si>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</si>
  <si>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</si>
  <si>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</si>
  <si>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</si>
  <si>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</si>
  <si>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</si>
  <si>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</si>
  <si>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</si>
  <si>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</si>
  <si>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</si>
  <si>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180 &lt;= b1</t>
  </si>
  <si>
    <t>120 &lt;= b2 &lt;= 160</t>
  </si>
  <si>
    <t>56.25 &lt;= b3 &lt;= 75</t>
  </si>
  <si>
    <t>Contribution per unit</t>
  </si>
  <si>
    <t>obj</t>
  </si>
  <si>
    <t xml:space="preserve">Available Resources </t>
  </si>
  <si>
    <t xml:space="preserve">Machine </t>
  </si>
  <si>
    <t>Part A</t>
  </si>
  <si>
    <t>Part B</t>
  </si>
  <si>
    <t>Used Time</t>
  </si>
  <si>
    <t>Available Time</t>
  </si>
  <si>
    <t xml:space="preserve">Profit per unit </t>
  </si>
  <si>
    <t>Obj</t>
  </si>
  <si>
    <t>Part C</t>
  </si>
  <si>
    <t>Area 01</t>
  </si>
  <si>
    <t>Area 02</t>
  </si>
  <si>
    <t>Area 03</t>
  </si>
  <si>
    <t xml:space="preserve">Sugar Beats </t>
  </si>
  <si>
    <t>Max acress</t>
  </si>
  <si>
    <t>water consu</t>
  </si>
  <si>
    <t>Usable land</t>
  </si>
  <si>
    <t>Used acress</t>
  </si>
  <si>
    <t>water allo</t>
  </si>
  <si>
    <t>propotion</t>
  </si>
  <si>
    <t>Total net return</t>
  </si>
  <si>
    <t>Net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</si>
</sst>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56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56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386B-906F-0043-AC03-9E567725D984}">
  <dimension ref="A1:F9"/>
  <sheetViews>
    <sheetView zoomScale="170" zoomScaleNormal="170" workbookViewId="0">
      <selection activeCell="F13" sqref="F13"/>
    </sheetView>
  </sheetViews>
  <sheetFormatPr baseColWidth="10" defaultRowHeight="16" x14ac:dyDescent="0.2"/>
  <cols>
    <col min="1" max="1" width="13.83203125" customWidth="1"/>
    <col min="5" max="5" width="15" customWidth="1"/>
    <col min="6" max="6" width="14.83203125" customWidth="1"/>
  </cols>
  <sheetData>
    <row r="1" spans="1:6" x14ac:dyDescent="0.2">
      <c r="A1" t="s">
        <v>90</v>
      </c>
      <c r="B1" t="s">
        <v>91</v>
      </c>
      <c r="C1" t="s">
        <v>92</v>
      </c>
      <c r="D1" t="s">
        <v>97</v>
      </c>
      <c r="E1" t="s">
        <v>93</v>
      </c>
      <c r="F1" t="s">
        <v>94</v>
      </c>
    </row>
    <row r="2" spans="1:6" x14ac:dyDescent="0.2">
      <c r="A2">
        <v>1</v>
      </c>
      <c r="B2">
        <v>0.02</v>
      </c>
      <c r="C2">
        <v>0.03</v>
      </c>
      <c r="D2">
        <v>0.05</v>
      </c>
      <c r="E2" s="5">
        <f>SUMPRODUCT(B2:D2,B$7:D$7)</f>
        <v>39.999999999999986</v>
      </c>
      <c r="F2">
        <v>40</v>
      </c>
    </row>
    <row r="3" spans="1:6" x14ac:dyDescent="0.2">
      <c r="A3">
        <v>2</v>
      </c>
      <c r="B3">
        <v>0.05</v>
      </c>
      <c r="C3">
        <v>0.02</v>
      </c>
      <c r="D3">
        <v>0.04</v>
      </c>
      <c r="E3" s="5">
        <f>SUMPRODUCT(B3:D3,B$7:D$7)</f>
        <v>39.999999999999993</v>
      </c>
      <c r="F3">
        <v>40</v>
      </c>
    </row>
    <row r="5" spans="1:6" x14ac:dyDescent="0.2">
      <c r="A5" t="s">
        <v>95</v>
      </c>
      <c r="B5">
        <v>300</v>
      </c>
      <c r="C5">
        <v>250</v>
      </c>
      <c r="D5">
        <v>200</v>
      </c>
    </row>
    <row r="7" spans="1:6" x14ac:dyDescent="0.2">
      <c r="A7" t="s">
        <v>7</v>
      </c>
      <c r="B7" s="1">
        <v>363.63636363636368</v>
      </c>
      <c r="C7" s="1">
        <v>1090.9090909090905</v>
      </c>
      <c r="D7" s="1">
        <v>0</v>
      </c>
    </row>
    <row r="9" spans="1:6" x14ac:dyDescent="0.2">
      <c r="C9" t="s">
        <v>96</v>
      </c>
      <c r="D9" s="2">
        <f>SUMPRODUCT(B7:D7,B5:D5)</f>
        <v>381818.18181818177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1BFC-5CE0-FE48-AF0B-2C1F2A20CACD}">
  <dimension ref="A1:H10"/>
  <sheetViews>
    <sheetView tabSelected="1" zoomScale="150" zoomScaleNormal="150" workbookViewId="0">
      <selection activeCell="F14" sqref="F14"/>
    </sheetView>
  </sheetViews>
  <sheetFormatPr baseColWidth="10" defaultRowHeight="16" x14ac:dyDescent="0.2"/>
  <cols>
    <col min="1" max="1" width="14.33203125" customWidth="1"/>
  </cols>
  <sheetData>
    <row r="1" spans="1:8" x14ac:dyDescent="0.2">
      <c r="B1" t="s">
        <v>98</v>
      </c>
      <c r="C1" t="s">
        <v>99</v>
      </c>
      <c r="D1" t="s">
        <v>100</v>
      </c>
      <c r="E1" t="s">
        <v>105</v>
      </c>
      <c r="F1" t="s">
        <v>102</v>
      </c>
      <c r="G1" t="s">
        <v>103</v>
      </c>
      <c r="H1" t="s">
        <v>109</v>
      </c>
    </row>
    <row r="2" spans="1:8" x14ac:dyDescent="0.2">
      <c r="A2" t="s">
        <v>101</v>
      </c>
      <c r="B2" s="1">
        <v>133.33333333333334</v>
      </c>
      <c r="C2" s="1">
        <v>100</v>
      </c>
      <c r="D2" s="1">
        <v>24.999999999999972</v>
      </c>
      <c r="E2" s="5">
        <f>SUM(B2:D2)</f>
        <v>258.33333333333331</v>
      </c>
      <c r="F2">
        <v>600</v>
      </c>
      <c r="G2">
        <v>3</v>
      </c>
      <c r="H2">
        <v>1000</v>
      </c>
    </row>
    <row r="3" spans="1:8" x14ac:dyDescent="0.2">
      <c r="A3" t="s">
        <v>12</v>
      </c>
      <c r="B3" s="1">
        <v>100.00000000000003</v>
      </c>
      <c r="C3" s="1">
        <v>249.99999999999994</v>
      </c>
      <c r="D3" s="1">
        <v>150.00000000000006</v>
      </c>
      <c r="E3" s="5">
        <f t="shared" ref="E3:E4" si="0">SUM(B3:D3)</f>
        <v>500.00000000000006</v>
      </c>
      <c r="F3">
        <v>500</v>
      </c>
      <c r="G3">
        <v>2</v>
      </c>
      <c r="H3">
        <v>750</v>
      </c>
    </row>
    <row r="4" spans="1:8" x14ac:dyDescent="0.2">
      <c r="A4" t="s">
        <v>13</v>
      </c>
      <c r="B4" s="1">
        <v>0</v>
      </c>
      <c r="C4" s="1">
        <v>0</v>
      </c>
      <c r="D4" s="1">
        <v>0</v>
      </c>
      <c r="E4" s="5">
        <f t="shared" si="0"/>
        <v>0</v>
      </c>
      <c r="F4">
        <v>325</v>
      </c>
      <c r="G4">
        <v>1</v>
      </c>
      <c r="H4">
        <v>250</v>
      </c>
    </row>
    <row r="5" spans="1:8" x14ac:dyDescent="0.2">
      <c r="A5" s="5"/>
      <c r="B5" s="5">
        <f>SUM(B2:B4)</f>
        <v>233.33333333333337</v>
      </c>
      <c r="C5" s="5">
        <f t="shared" ref="C5:D5" si="1">SUM(C2:C4)</f>
        <v>349.99999999999994</v>
      </c>
      <c r="D5" s="5">
        <f t="shared" si="1"/>
        <v>175.00000000000003</v>
      </c>
    </row>
    <row r="6" spans="1:8" x14ac:dyDescent="0.2">
      <c r="A6" t="s">
        <v>104</v>
      </c>
      <c r="B6">
        <v>400</v>
      </c>
      <c r="C6">
        <v>600</v>
      </c>
      <c r="D6">
        <v>300</v>
      </c>
    </row>
    <row r="7" spans="1:8" x14ac:dyDescent="0.2">
      <c r="A7" s="5"/>
      <c r="B7" s="5">
        <f>SUMPRODUCT($G2:$G4,B2:B4)</f>
        <v>600</v>
      </c>
      <c r="C7" s="5">
        <f t="shared" ref="C7:D7" si="2">SUMPRODUCT($G2:$G4,C2:C4)</f>
        <v>799.99999999999989</v>
      </c>
      <c r="D7" s="5">
        <f t="shared" si="2"/>
        <v>375</v>
      </c>
    </row>
    <row r="8" spans="1:8" x14ac:dyDescent="0.2">
      <c r="A8" t="s">
        <v>106</v>
      </c>
      <c r="B8">
        <v>600</v>
      </c>
      <c r="C8">
        <v>800</v>
      </c>
      <c r="D8">
        <v>375</v>
      </c>
    </row>
    <row r="9" spans="1:8" x14ac:dyDescent="0.2">
      <c r="A9" s="4" t="s">
        <v>108</v>
      </c>
      <c r="B9" s="2">
        <f>H2 * SUM(B2:D2) + H3 * SUM(B3:D3) + H4*SUM(B4:D4)</f>
        <v>633333.33333333337</v>
      </c>
    </row>
    <row r="10" spans="1:8" x14ac:dyDescent="0.2">
      <c r="A10" s="4" t="s">
        <v>107</v>
      </c>
      <c r="B10" s="5">
        <f>B5/400</f>
        <v>0.58333333333333348</v>
      </c>
      <c r="C10" s="5">
        <f>C5/600</f>
        <v>0.58333333333333326</v>
      </c>
      <c r="D10" s="5">
        <f>D5/300</f>
        <v>0.58333333333333348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0AB7-DE5D-A14B-8226-C376EEF7D259}">
  <dimension ref="A1:E10"/>
  <sheetViews>
    <sheetView zoomScale="150" zoomScaleNormal="150" workbookViewId="0">
      <selection activeCell="D8" sqref="D8"/>
    </sheetView>
  </sheetViews>
  <sheetFormatPr baseColWidth="10" defaultRowHeight="16" x14ac:dyDescent="0.2"/>
  <cols>
    <col min="1" max="1" width="20" customWidth="1"/>
    <col min="4" max="4" width="14" customWidth="1"/>
    <col min="5" max="5" width="1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89</v>
      </c>
    </row>
    <row r="2" spans="1:5" x14ac:dyDescent="0.2">
      <c r="A2">
        <v>1</v>
      </c>
      <c r="B2">
        <v>2</v>
      </c>
      <c r="C2">
        <v>1</v>
      </c>
      <c r="D2" s="5">
        <f>SUMPRODUCT(B2:C2,B$8:C$8)</f>
        <v>10</v>
      </c>
      <c r="E2">
        <v>10</v>
      </c>
    </row>
    <row r="3" spans="1:5" x14ac:dyDescent="0.2">
      <c r="A3">
        <v>2</v>
      </c>
      <c r="B3">
        <v>3</v>
      </c>
      <c r="C3">
        <v>3</v>
      </c>
      <c r="D3" s="5">
        <f t="shared" ref="D3:D4" si="0">SUMPRODUCT(B3:C3,B$8:C$8)</f>
        <v>20</v>
      </c>
      <c r="E3">
        <v>20</v>
      </c>
    </row>
    <row r="4" spans="1:5" x14ac:dyDescent="0.2">
      <c r="A4">
        <v>3</v>
      </c>
      <c r="B4">
        <v>2</v>
      </c>
      <c r="C4">
        <v>4</v>
      </c>
      <c r="D4" s="5">
        <f t="shared" si="0"/>
        <v>20</v>
      </c>
      <c r="E4">
        <v>20</v>
      </c>
    </row>
    <row r="6" spans="1:5" x14ac:dyDescent="0.2">
      <c r="A6" t="s">
        <v>87</v>
      </c>
      <c r="B6">
        <v>20</v>
      </c>
      <c r="C6">
        <v>30</v>
      </c>
    </row>
    <row r="8" spans="1:5" x14ac:dyDescent="0.2">
      <c r="A8" t="s">
        <v>7</v>
      </c>
      <c r="B8" s="1">
        <v>3.333333333333333</v>
      </c>
      <c r="C8" s="1">
        <v>3.3333333333333335</v>
      </c>
    </row>
    <row r="10" spans="1:5" x14ac:dyDescent="0.2">
      <c r="C10" t="s">
        <v>88</v>
      </c>
      <c r="D10" s="2">
        <f>SUMPRODUCT(B8:C8,B6:C6)</f>
        <v>166.66666666666666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0206-6987-7145-A2B7-82D25E2A5800}">
  <dimension ref="A1:E12"/>
  <sheetViews>
    <sheetView zoomScale="160" zoomScaleNormal="160" workbookViewId="0">
      <selection activeCell="D2" sqref="D2"/>
    </sheetView>
  </sheetViews>
  <sheetFormatPr baseColWidth="10" defaultRowHeight="16" x14ac:dyDescent="0.2"/>
  <cols>
    <col min="1" max="1" width="28.33203125" customWidth="1"/>
    <col min="2" max="2" width="11.1640625" customWidth="1"/>
    <col min="4" max="4" width="16.83203125" customWidth="1"/>
    <col min="5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5" x14ac:dyDescent="0.2">
      <c r="A2">
        <v>1</v>
      </c>
      <c r="B2">
        <v>2</v>
      </c>
      <c r="C2">
        <v>1</v>
      </c>
      <c r="D2" s="3">
        <f>SUMPRODUCT(B2:C2,B$7:C$7)</f>
        <v>10</v>
      </c>
      <c r="E2">
        <v>10</v>
      </c>
    </row>
    <row r="3" spans="1:5" x14ac:dyDescent="0.2">
      <c r="A3">
        <v>2</v>
      </c>
      <c r="B3">
        <v>3</v>
      </c>
      <c r="C3">
        <v>3</v>
      </c>
      <c r="D3" s="3">
        <f t="shared" ref="D3:D4" si="0">SUMPRODUCT(B3:C3,B$7:C$7)</f>
        <v>20</v>
      </c>
      <c r="E3">
        <v>20</v>
      </c>
    </row>
    <row r="4" spans="1:5" x14ac:dyDescent="0.2">
      <c r="A4">
        <v>3</v>
      </c>
      <c r="B4">
        <v>2</v>
      </c>
      <c r="C4">
        <v>4</v>
      </c>
      <c r="D4" s="3">
        <f t="shared" si="0"/>
        <v>20</v>
      </c>
      <c r="E4">
        <v>20</v>
      </c>
    </row>
    <row r="5" spans="1:5" x14ac:dyDescent="0.2">
      <c r="A5" t="s">
        <v>4</v>
      </c>
      <c r="B5">
        <v>20</v>
      </c>
      <c r="C5">
        <v>30</v>
      </c>
    </row>
    <row r="7" spans="1:5" x14ac:dyDescent="0.2">
      <c r="A7" t="s">
        <v>7</v>
      </c>
      <c r="B7" s="1">
        <v>3.333333333333333</v>
      </c>
      <c r="C7" s="1">
        <v>3.3333333333333335</v>
      </c>
    </row>
    <row r="12" spans="1:5" x14ac:dyDescent="0.2">
      <c r="C12" t="s">
        <v>6</v>
      </c>
      <c r="D12" s="2">
        <f>SUMPRODUCT(B7:C7,B5:C5)</f>
        <v>166.66666666666666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DD48-478D-5E43-89FD-479C438F8A27}">
  <dimension ref="A1:G8"/>
  <sheetViews>
    <sheetView zoomScale="140" zoomScaleNormal="140" workbookViewId="0">
      <selection activeCell="D18" sqref="D18"/>
    </sheetView>
  </sheetViews>
  <sheetFormatPr baseColWidth="10" defaultRowHeight="16" x14ac:dyDescent="0.2"/>
  <cols>
    <col min="6" max="6" width="17" customWidth="1"/>
  </cols>
  <sheetData>
    <row r="1" spans="1:7" x14ac:dyDescent="0.2">
      <c r="B1" t="s">
        <v>8</v>
      </c>
      <c r="C1" t="s">
        <v>10</v>
      </c>
      <c r="D1" t="s">
        <v>9</v>
      </c>
      <c r="E1" t="s">
        <v>17</v>
      </c>
      <c r="F1" t="s">
        <v>14</v>
      </c>
      <c r="G1" t="s">
        <v>19</v>
      </c>
    </row>
    <row r="2" spans="1:7" x14ac:dyDescent="0.2">
      <c r="A2" t="s">
        <v>11</v>
      </c>
      <c r="B2" s="1">
        <v>1</v>
      </c>
      <c r="C2" s="1">
        <v>2</v>
      </c>
      <c r="D2" s="1">
        <v>3</v>
      </c>
      <c r="E2" s="3">
        <f>SUM(B2:D2)</f>
        <v>6</v>
      </c>
      <c r="F2">
        <v>600</v>
      </c>
      <c r="G2" s="4">
        <v>3</v>
      </c>
    </row>
    <row r="3" spans="1:7" x14ac:dyDescent="0.2">
      <c r="A3" t="s">
        <v>12</v>
      </c>
      <c r="B3" s="1">
        <v>4</v>
      </c>
      <c r="C3" s="1">
        <v>5</v>
      </c>
      <c r="D3" s="1">
        <v>6</v>
      </c>
      <c r="E3" s="3">
        <f t="shared" ref="E3:E4" si="0">SUM(B3:D3)</f>
        <v>15</v>
      </c>
      <c r="F3">
        <v>500</v>
      </c>
      <c r="G3" s="4">
        <v>2</v>
      </c>
    </row>
    <row r="4" spans="1:7" x14ac:dyDescent="0.2">
      <c r="A4" t="s">
        <v>13</v>
      </c>
      <c r="B4" s="1">
        <v>7</v>
      </c>
      <c r="C4" s="1">
        <v>8</v>
      </c>
      <c r="D4" s="1">
        <v>9</v>
      </c>
      <c r="E4" s="3">
        <f t="shared" si="0"/>
        <v>24</v>
      </c>
      <c r="F4">
        <v>325</v>
      </c>
      <c r="G4" s="4">
        <v>1</v>
      </c>
    </row>
    <row r="5" spans="1:7" x14ac:dyDescent="0.2">
      <c r="A5" t="s">
        <v>18</v>
      </c>
      <c r="B5" s="3">
        <f>SUM(B2:B4)</f>
        <v>12</v>
      </c>
      <c r="C5" s="3">
        <f t="shared" ref="C5:D5" si="1">SUM(C2:C4)</f>
        <v>15</v>
      </c>
      <c r="D5" s="3">
        <f t="shared" si="1"/>
        <v>18</v>
      </c>
    </row>
    <row r="6" spans="1:7" x14ac:dyDescent="0.2">
      <c r="A6" t="s">
        <v>15</v>
      </c>
      <c r="B6">
        <v>400</v>
      </c>
      <c r="C6">
        <v>600</v>
      </c>
      <c r="D6">
        <v>300</v>
      </c>
    </row>
    <row r="7" spans="1:7" x14ac:dyDescent="0.2">
      <c r="B7">
        <f>SUMPRODUCT(G$2:G$4,B2:B4)</f>
        <v>18</v>
      </c>
      <c r="C7">
        <f>SUMPRODUCT(G$2:G$4,C2:C4)</f>
        <v>24</v>
      </c>
      <c r="D7">
        <f>SUMPRODUCT(G$2:G$4,D2:D4)</f>
        <v>30</v>
      </c>
    </row>
    <row r="8" spans="1:7" x14ac:dyDescent="0.2">
      <c r="A8" t="s">
        <v>16</v>
      </c>
      <c r="B8">
        <v>600</v>
      </c>
      <c r="C8">
        <v>800</v>
      </c>
      <c r="D8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077A-3A48-AB46-B37D-9002CE037704}">
  <dimension ref="A1:G30"/>
  <sheetViews>
    <sheetView showGridLines="0" workbookViewId="0"/>
  </sheetViews>
  <sheetFormatPr baseColWidth="10" defaultRowHeight="16" x14ac:dyDescent="0.2"/>
  <cols>
    <col min="1" max="1" width="2.33203125" customWidth="1"/>
    <col min="2" max="2" width="5.1640625" bestFit="1" customWidth="1"/>
    <col min="3" max="3" width="10.83203125" bestFit="1" customWidth="1"/>
    <col min="4" max="4" width="12.83203125" bestFit="1" customWidth="1"/>
    <col min="5" max="5" width="11.5" bestFit="1" customWidth="1"/>
    <col min="6" max="6" width="10.83203125" bestFit="1" customWidth="1"/>
    <col min="7" max="7" width="5.5" bestFit="1" customWidth="1"/>
  </cols>
  <sheetData>
    <row r="1" spans="1:5" x14ac:dyDescent="0.2">
      <c r="A1" s="6" t="s">
        <v>32</v>
      </c>
    </row>
    <row r="2" spans="1:5" x14ac:dyDescent="0.2">
      <c r="A2" s="6" t="s">
        <v>33</v>
      </c>
    </row>
    <row r="3" spans="1:5" x14ac:dyDescent="0.2">
      <c r="A3" s="6" t="s">
        <v>34</v>
      </c>
    </row>
    <row r="4" spans="1:5" x14ac:dyDescent="0.2">
      <c r="A4" s="6" t="s">
        <v>35</v>
      </c>
    </row>
    <row r="5" spans="1:5" x14ac:dyDescent="0.2">
      <c r="A5" s="6" t="s">
        <v>36</v>
      </c>
    </row>
    <row r="6" spans="1:5" x14ac:dyDescent="0.2">
      <c r="A6" s="6"/>
      <c r="B6" t="s">
        <v>37</v>
      </c>
    </row>
    <row r="7" spans="1:5" x14ac:dyDescent="0.2">
      <c r="A7" s="6"/>
      <c r="B7" t="s">
        <v>38</v>
      </c>
    </row>
    <row r="8" spans="1:5" x14ac:dyDescent="0.2">
      <c r="A8" s="6"/>
      <c r="B8" t="s">
        <v>39</v>
      </c>
    </row>
    <row r="9" spans="1:5" x14ac:dyDescent="0.2">
      <c r="A9" s="6" t="s">
        <v>40</v>
      </c>
    </row>
    <row r="10" spans="1:5" x14ac:dyDescent="0.2">
      <c r="B10" t="s">
        <v>41</v>
      </c>
    </row>
    <row r="11" spans="1:5" x14ac:dyDescent="0.2">
      <c r="B11" t="s">
        <v>42</v>
      </c>
    </row>
    <row r="14" spans="1:5" ht="17" thickBot="1" x14ac:dyDescent="0.25">
      <c r="A14" t="s">
        <v>43</v>
      </c>
    </row>
    <row r="15" spans="1:5" ht="17" thickBot="1" x14ac:dyDescent="0.25">
      <c r="B15" s="8" t="s">
        <v>44</v>
      </c>
      <c r="C15" s="8" t="s">
        <v>45</v>
      </c>
      <c r="D15" s="8" t="s">
        <v>46</v>
      </c>
      <c r="E15" s="8" t="s">
        <v>47</v>
      </c>
    </row>
    <row r="16" spans="1:5" ht="17" thickBot="1" x14ac:dyDescent="0.25">
      <c r="B16" s="7" t="s">
        <v>55</v>
      </c>
      <c r="C16" s="7" t="s">
        <v>56</v>
      </c>
      <c r="D16" s="11">
        <v>341.25000000000006</v>
      </c>
      <c r="E16" s="11">
        <v>341.25000000000006</v>
      </c>
    </row>
    <row r="19" spans="1:7" ht="17" thickBot="1" x14ac:dyDescent="0.25">
      <c r="A19" t="s">
        <v>48</v>
      </c>
    </row>
    <row r="20" spans="1:7" ht="17" thickBot="1" x14ac:dyDescent="0.25">
      <c r="B20" s="8" t="s">
        <v>44</v>
      </c>
      <c r="C20" s="8" t="s">
        <v>45</v>
      </c>
      <c r="D20" s="8" t="s">
        <v>46</v>
      </c>
      <c r="E20" s="8" t="s">
        <v>47</v>
      </c>
      <c r="F20" s="8" t="s">
        <v>49</v>
      </c>
    </row>
    <row r="21" spans="1:7" x14ac:dyDescent="0.2">
      <c r="B21" s="10" t="s">
        <v>57</v>
      </c>
      <c r="C21" s="10" t="s">
        <v>23</v>
      </c>
      <c r="D21" s="12">
        <v>0</v>
      </c>
      <c r="E21" s="12">
        <v>0</v>
      </c>
      <c r="F21" s="10" t="s">
        <v>58</v>
      </c>
    </row>
    <row r="22" spans="1:7" x14ac:dyDescent="0.2">
      <c r="B22" s="10" t="s">
        <v>59</v>
      </c>
      <c r="C22" s="10" t="s">
        <v>24</v>
      </c>
      <c r="D22" s="12">
        <v>299.99999999999977</v>
      </c>
      <c r="E22" s="12">
        <v>299.99999999999977</v>
      </c>
      <c r="F22" s="10" t="s">
        <v>58</v>
      </c>
    </row>
    <row r="23" spans="1:7" ht="17" thickBot="1" x14ac:dyDescent="0.25">
      <c r="B23" s="7" t="s">
        <v>60</v>
      </c>
      <c r="C23" s="7" t="s">
        <v>25</v>
      </c>
      <c r="D23" s="11">
        <v>75.000000000000227</v>
      </c>
      <c r="E23" s="11">
        <v>75.000000000000227</v>
      </c>
      <c r="F23" s="7" t="s">
        <v>58</v>
      </c>
    </row>
    <row r="26" spans="1:7" ht="17" thickBot="1" x14ac:dyDescent="0.25">
      <c r="A26" t="s">
        <v>50</v>
      </c>
    </row>
    <row r="27" spans="1:7" ht="17" thickBot="1" x14ac:dyDescent="0.25">
      <c r="B27" s="8" t="s">
        <v>44</v>
      </c>
      <c r="C27" s="8" t="s">
        <v>45</v>
      </c>
      <c r="D27" s="8" t="s">
        <v>51</v>
      </c>
      <c r="E27" s="8" t="s">
        <v>52</v>
      </c>
      <c r="F27" s="8" t="s">
        <v>53</v>
      </c>
      <c r="G27" s="8" t="s">
        <v>54</v>
      </c>
    </row>
    <row r="28" spans="1:7" x14ac:dyDescent="0.2">
      <c r="B28" s="10" t="s">
        <v>61</v>
      </c>
      <c r="C28" s="10" t="s">
        <v>20</v>
      </c>
      <c r="D28" s="12">
        <v>179.99999999999997</v>
      </c>
      <c r="E28" s="10" t="s">
        <v>62</v>
      </c>
      <c r="F28" s="10" t="s">
        <v>63</v>
      </c>
      <c r="G28" s="10">
        <v>20.000000000000028</v>
      </c>
    </row>
    <row r="29" spans="1:7" x14ac:dyDescent="0.2">
      <c r="B29" s="10" t="s">
        <v>64</v>
      </c>
      <c r="C29" s="10" t="s">
        <v>21</v>
      </c>
      <c r="D29" s="12">
        <v>150</v>
      </c>
      <c r="E29" s="10" t="s">
        <v>65</v>
      </c>
      <c r="F29" s="10" t="s">
        <v>66</v>
      </c>
      <c r="G29" s="10">
        <v>0</v>
      </c>
    </row>
    <row r="30" spans="1:7" ht="17" thickBot="1" x14ac:dyDescent="0.25">
      <c r="B30" s="7" t="s">
        <v>67</v>
      </c>
      <c r="C30" s="7" t="s">
        <v>22</v>
      </c>
      <c r="D30" s="11">
        <v>60.000000000000014</v>
      </c>
      <c r="E30" s="7" t="s">
        <v>68</v>
      </c>
      <c r="F30" s="7" t="s">
        <v>66</v>
      </c>
      <c r="G30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5579-EB5C-BC41-9FA0-19959E08AC97}">
  <dimension ref="A1:J18"/>
  <sheetViews>
    <sheetView showGridLines="0" zoomScale="158" workbookViewId="0">
      <selection activeCell="I13" sqref="I13"/>
    </sheetView>
  </sheetViews>
  <sheetFormatPr baseColWidth="10" defaultRowHeight="16" x14ac:dyDescent="0.2"/>
  <cols>
    <col min="1" max="1" width="2.33203125" customWidth="1"/>
    <col min="2" max="2" width="5.33203125" bestFit="1" customWidth="1"/>
    <col min="3" max="3" width="9.1640625" bestFit="1" customWidth="1"/>
    <col min="4" max="4" width="5.83203125" bestFit="1" customWidth="1"/>
    <col min="5" max="5" width="8.1640625" bestFit="1" customWidth="1"/>
    <col min="6" max="6" width="10" bestFit="1" customWidth="1"/>
    <col min="7" max="7" width="12.1640625" bestFit="1" customWidth="1"/>
    <col min="8" max="8" width="9.33203125" bestFit="1" customWidth="1"/>
  </cols>
  <sheetData>
    <row r="1" spans="1:10" x14ac:dyDescent="0.2">
      <c r="A1" s="6" t="s">
        <v>69</v>
      </c>
    </row>
    <row r="2" spans="1:10" x14ac:dyDescent="0.2">
      <c r="A2" s="6" t="s">
        <v>33</v>
      </c>
    </row>
    <row r="3" spans="1:10" x14ac:dyDescent="0.2">
      <c r="A3" s="6" t="s">
        <v>70</v>
      </c>
    </row>
    <row r="6" spans="1:10" ht="17" thickBot="1" x14ac:dyDescent="0.25">
      <c r="A6" t="s">
        <v>48</v>
      </c>
    </row>
    <row r="7" spans="1:10" x14ac:dyDescent="0.2">
      <c r="B7" s="13"/>
      <c r="C7" s="13"/>
      <c r="D7" s="13" t="s">
        <v>71</v>
      </c>
      <c r="E7" s="13" t="s">
        <v>73</v>
      </c>
      <c r="F7" s="13" t="s">
        <v>75</v>
      </c>
      <c r="G7" s="13" t="s">
        <v>77</v>
      </c>
      <c r="H7" s="13" t="s">
        <v>77</v>
      </c>
    </row>
    <row r="8" spans="1:10" ht="17" thickBot="1" x14ac:dyDescent="0.25">
      <c r="B8" s="14" t="s">
        <v>44</v>
      </c>
      <c r="C8" s="14" t="s">
        <v>45</v>
      </c>
      <c r="D8" s="14" t="s">
        <v>72</v>
      </c>
      <c r="E8" s="14" t="s">
        <v>74</v>
      </c>
      <c r="F8" s="14" t="s">
        <v>76</v>
      </c>
      <c r="G8" s="14" t="s">
        <v>78</v>
      </c>
      <c r="H8" s="14" t="s">
        <v>79</v>
      </c>
    </row>
    <row r="9" spans="1:10" x14ac:dyDescent="0.2">
      <c r="B9" s="10" t="s">
        <v>57</v>
      </c>
      <c r="C9" s="10" t="s">
        <v>23</v>
      </c>
      <c r="D9" s="10">
        <v>0</v>
      </c>
      <c r="E9" s="10">
        <v>-3.7500000000000228E-2</v>
      </c>
      <c r="F9" s="10">
        <v>1</v>
      </c>
      <c r="G9" s="10">
        <v>3.7500000000000228E-2</v>
      </c>
      <c r="H9" s="10">
        <v>1E+30</v>
      </c>
    </row>
    <row r="10" spans="1:10" x14ac:dyDescent="0.2">
      <c r="B10" s="10" t="s">
        <v>59</v>
      </c>
      <c r="C10" s="10" t="s">
        <v>24</v>
      </c>
      <c r="D10" s="10">
        <v>299.99999999999977</v>
      </c>
      <c r="E10" s="10">
        <v>0</v>
      </c>
      <c r="F10" s="10">
        <v>0.89999999999999991</v>
      </c>
      <c r="G10" s="10">
        <v>4.9999999999999815E-2</v>
      </c>
      <c r="H10" s="10">
        <v>1.2500000000000082E-2</v>
      </c>
    </row>
    <row r="11" spans="1:10" ht="17" thickBot="1" x14ac:dyDescent="0.25">
      <c r="B11" s="7" t="s">
        <v>60</v>
      </c>
      <c r="C11" s="7" t="s">
        <v>25</v>
      </c>
      <c r="D11" s="7">
        <v>75.000000000000227</v>
      </c>
      <c r="E11" s="7">
        <v>0</v>
      </c>
      <c r="F11" s="7">
        <v>0.94999999999999973</v>
      </c>
      <c r="G11" s="7">
        <v>2.1428571428571574E-2</v>
      </c>
      <c r="H11" s="7">
        <v>4.9999999999999815E-2</v>
      </c>
      <c r="I11" s="9">
        <v>0.9</v>
      </c>
      <c r="J11" s="9">
        <v>0.97140000000000004</v>
      </c>
    </row>
    <row r="13" spans="1:10" ht="17" thickBot="1" x14ac:dyDescent="0.25">
      <c r="A13" t="s">
        <v>50</v>
      </c>
    </row>
    <row r="14" spans="1:10" x14ac:dyDescent="0.2">
      <c r="B14" s="13"/>
      <c r="C14" s="13"/>
      <c r="D14" s="13" t="s">
        <v>71</v>
      </c>
      <c r="E14" s="13" t="s">
        <v>80</v>
      </c>
      <c r="F14" s="13" t="s">
        <v>82</v>
      </c>
      <c r="G14" s="13" t="s">
        <v>77</v>
      </c>
      <c r="H14" s="13" t="s">
        <v>77</v>
      </c>
    </row>
    <row r="15" spans="1:10" ht="17" thickBot="1" x14ac:dyDescent="0.25">
      <c r="B15" s="14" t="s">
        <v>44</v>
      </c>
      <c r="C15" s="14" t="s">
        <v>45</v>
      </c>
      <c r="D15" s="14" t="s">
        <v>72</v>
      </c>
      <c r="E15" s="14" t="s">
        <v>81</v>
      </c>
      <c r="F15" s="14" t="s">
        <v>83</v>
      </c>
      <c r="G15" s="14" t="s">
        <v>78</v>
      </c>
      <c r="H15" s="14" t="s">
        <v>79</v>
      </c>
    </row>
    <row r="16" spans="1:10" x14ac:dyDescent="0.2">
      <c r="B16" s="10" t="s">
        <v>61</v>
      </c>
      <c r="C16" s="10" t="s">
        <v>20</v>
      </c>
      <c r="D16" s="10">
        <v>179.99999999999997</v>
      </c>
      <c r="E16" s="10">
        <v>0</v>
      </c>
      <c r="F16" s="10">
        <v>200</v>
      </c>
      <c r="G16" s="10">
        <v>1E+30</v>
      </c>
      <c r="H16" s="10">
        <v>20.00000000000005</v>
      </c>
      <c r="I16" t="s">
        <v>84</v>
      </c>
    </row>
    <row r="17" spans="2:9" x14ac:dyDescent="0.2">
      <c r="B17" s="10" t="s">
        <v>64</v>
      </c>
      <c r="C17" s="10" t="s">
        <v>21</v>
      </c>
      <c r="D17" s="10">
        <v>150</v>
      </c>
      <c r="E17" s="10">
        <v>1.8750000000000011</v>
      </c>
      <c r="F17" s="10">
        <v>150</v>
      </c>
      <c r="G17" s="10">
        <v>10.000000000000034</v>
      </c>
      <c r="H17" s="10">
        <v>29.999999999999989</v>
      </c>
      <c r="I17" t="s">
        <v>85</v>
      </c>
    </row>
    <row r="18" spans="2:9" ht="17" thickBot="1" x14ac:dyDescent="0.25">
      <c r="B18" s="7" t="s">
        <v>67</v>
      </c>
      <c r="C18" s="7" t="s">
        <v>22</v>
      </c>
      <c r="D18" s="7">
        <v>60.000000000000014</v>
      </c>
      <c r="E18" s="7">
        <v>0.999999999999996</v>
      </c>
      <c r="F18" s="7">
        <v>60</v>
      </c>
      <c r="G18" s="7">
        <v>14.999999999999995</v>
      </c>
      <c r="H18" s="7">
        <v>3.7500000000000129</v>
      </c>
      <c r="I18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ECBF-A36D-6D40-A954-BB5BEC3F7B22}">
  <dimension ref="A1:G9"/>
  <sheetViews>
    <sheetView zoomScale="245" zoomScaleNormal="245" workbookViewId="0">
      <selection activeCell="H7" sqref="H7"/>
    </sheetView>
  </sheetViews>
  <sheetFormatPr baseColWidth="10" defaultRowHeight="16" x14ac:dyDescent="0.2"/>
  <sheetData>
    <row r="1" spans="1:7" x14ac:dyDescent="0.2">
      <c r="B1" t="s">
        <v>23</v>
      </c>
      <c r="C1" t="s">
        <v>24</v>
      </c>
      <c r="D1" t="s">
        <v>25</v>
      </c>
    </row>
    <row r="2" spans="1:7" x14ac:dyDescent="0.2">
      <c r="A2" t="s">
        <v>20</v>
      </c>
      <c r="B2">
        <v>0.45</v>
      </c>
      <c r="C2">
        <v>0.5</v>
      </c>
      <c r="D2">
        <v>0.4</v>
      </c>
      <c r="E2" s="5">
        <f>SUMPRODUCT(B2:D2,B$6:D$6)</f>
        <v>179.99999999999997</v>
      </c>
      <c r="F2" t="s">
        <v>30</v>
      </c>
      <c r="G2">
        <v>200</v>
      </c>
    </row>
    <row r="3" spans="1:7" x14ac:dyDescent="0.2">
      <c r="A3" t="s">
        <v>21</v>
      </c>
      <c r="B3">
        <v>0.5</v>
      </c>
      <c r="C3">
        <v>0.4</v>
      </c>
      <c r="D3">
        <v>0.4</v>
      </c>
      <c r="E3" s="5">
        <f t="shared" ref="E3:E4" si="0">SUMPRODUCT(B3:D3,B$6:D$6)</f>
        <v>150</v>
      </c>
      <c r="F3" t="s">
        <v>30</v>
      </c>
      <c r="G3">
        <v>150</v>
      </c>
    </row>
    <row r="4" spans="1:7" x14ac:dyDescent="0.2">
      <c r="A4" t="s">
        <v>22</v>
      </c>
      <c r="B4">
        <v>0.1</v>
      </c>
      <c r="C4">
        <v>0.15</v>
      </c>
      <c r="D4">
        <v>0.2</v>
      </c>
      <c r="E4" s="5">
        <f t="shared" si="0"/>
        <v>60.000000000000014</v>
      </c>
      <c r="F4" t="s">
        <v>30</v>
      </c>
      <c r="G4">
        <v>60</v>
      </c>
    </row>
    <row r="5" spans="1:7" x14ac:dyDescent="0.2">
      <c r="A5" t="s">
        <v>31</v>
      </c>
      <c r="B5">
        <v>1</v>
      </c>
      <c r="C5">
        <v>0.9</v>
      </c>
      <c r="D5">
        <v>0.95</v>
      </c>
    </row>
    <row r="6" spans="1:7" x14ac:dyDescent="0.2">
      <c r="B6" s="1">
        <v>0</v>
      </c>
      <c r="C6" s="1">
        <v>299.99999999999977</v>
      </c>
      <c r="D6" s="1">
        <v>75.000000000000227</v>
      </c>
    </row>
    <row r="7" spans="1:7" x14ac:dyDescent="0.2">
      <c r="B7" t="s">
        <v>26</v>
      </c>
      <c r="C7" t="s">
        <v>27</v>
      </c>
      <c r="D7" t="s">
        <v>28</v>
      </c>
    </row>
    <row r="9" spans="1:7" x14ac:dyDescent="0.2">
      <c r="B9" t="s">
        <v>29</v>
      </c>
      <c r="C9" s="2">
        <f>SUMPRODUCT(B5:D5,B6:D6)</f>
        <v>341.25000000000006</v>
      </c>
      <c r="F9">
        <v>341.25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 2</vt:lpstr>
      <vt:lpstr>Task 3</vt:lpstr>
      <vt:lpstr>Task 1</vt:lpstr>
      <vt:lpstr>Sheet1</vt:lpstr>
      <vt:lpstr>Sheet2</vt:lpstr>
      <vt:lpstr>Answer Report 1</vt:lpstr>
      <vt:lpstr>Sensitivity Report 1</vt:lpstr>
      <vt:lpstr>Tutorial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2026-01-30T09:10:03Z</dcterms:created>
  <dcterms:modified xsi:type="dcterms:W3CDTF">2026-02-08T14:30:47Z</dcterms:modified>
</cp:coreProperties>
</file>