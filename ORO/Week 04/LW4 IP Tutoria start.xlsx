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D02E683F-E139-9D4E-971F-7C0A2F5AEE42}" xr6:coauthVersionLast="47" xr6:coauthVersionMax="47" xr10:uidLastSave="{00000000-0000-0000-0000-000000000000}"/>
  <bookViews>
    <workbookView xWindow="0" yWindow="600" windowWidth="27960" windowHeight="16200" activeTab="2" xr2:uid="{00000000-000D-0000-FFFF-FFFF00000000}"/>
  </bookViews>
  <sheets>
    <sheet name="committee" sheetId="1" r:id="rId1"/>
    <sheet name="emergency vehichles" sheetId="2" r:id="rId2"/>
    <sheet name="swimmers" sheetId="3" r:id="rId3"/>
  </sheets>
  <definedNames>
    <definedName name="solver_adj" localSheetId="0" hidden="1">committee!$I$4:$I$13</definedName>
    <definedName name="solver_adj" localSheetId="1" hidden="1">'emergency vehichles'!$C$13:$I$13</definedName>
    <definedName name="solver_adj" localSheetId="2" hidden="1">swimmers!$B$4:$F$7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committee!$C$16:$G$16</definedName>
    <definedName name="solver_lhs1" localSheetId="1" hidden="1">'emergency vehichles'!$C$13:$I$13</definedName>
    <definedName name="solver_lhs1" localSheetId="2" hidden="1">swimmers!$B$4:$F$7</definedName>
    <definedName name="solver_lhs10" localSheetId="2" hidden="1">swimmers!$G$7</definedName>
    <definedName name="solver_lhs2" localSheetId="0" hidden="1">committee!$I$4:$I$13</definedName>
    <definedName name="solver_lhs2" localSheetId="1" hidden="1">'emergency vehichles'!$J$4:$J$12</definedName>
    <definedName name="solver_lhs2" localSheetId="2" hidden="1">swimmers!$B$8</definedName>
    <definedName name="solver_lhs3" localSheetId="0" hidden="1">committee!$L$3</definedName>
    <definedName name="solver_lhs3" localSheetId="2" hidden="1">swimmers!$C$8</definedName>
    <definedName name="solver_lhs4" localSheetId="0" hidden="1">committee!$L$4</definedName>
    <definedName name="solver_lhs4" localSheetId="2" hidden="1">swimmers!$D$8</definedName>
    <definedName name="solver_lhs5" localSheetId="0" hidden="1">committee!$L$5</definedName>
    <definedName name="solver_lhs5" localSheetId="2" hidden="1">swimmers!$E$8</definedName>
    <definedName name="solver_lhs6" localSheetId="0" hidden="1">committee!$L$5</definedName>
    <definedName name="solver_lhs6" localSheetId="2" hidden="1">swimmers!$F$8</definedName>
    <definedName name="solver_lhs7" localSheetId="2" hidden="1">swimmers!$G$4</definedName>
    <definedName name="solver_lhs8" localSheetId="2" hidden="1">swimmers!$G$5</definedName>
    <definedName name="solver_lhs9" localSheetId="2" hidden="1">swimmers!$G$6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5</definedName>
    <definedName name="solver_num" localSheetId="1" hidden="1">2</definedName>
    <definedName name="solver_num" localSheetId="2" hidden="1">10</definedName>
    <definedName name="solver_opt" localSheetId="0" hidden="1">committee!$I$15</definedName>
    <definedName name="solver_opt" localSheetId="1" hidden="1">'emergency vehichles'!$J$13</definedName>
    <definedName name="solver_opt" localSheetId="2" hidden="1">swimmers!$I$4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3</definedName>
    <definedName name="solver_rel1" localSheetId="1" hidden="1">5</definedName>
    <definedName name="solver_rel1" localSheetId="2" hidden="1">5</definedName>
    <definedName name="solver_rel10" localSheetId="2" hidden="1">2</definedName>
    <definedName name="solver_rel2" localSheetId="0" hidden="1">5</definedName>
    <definedName name="solver_rel2" localSheetId="1" hidden="1">3</definedName>
    <definedName name="solver_rel2" localSheetId="2" hidden="1">1</definedName>
    <definedName name="solver_rel3" localSheetId="0" hidden="1">2</definedName>
    <definedName name="solver_rel3" localSheetId="2" hidden="1">1</definedName>
    <definedName name="solver_rel4" localSheetId="0" hidden="1">1</definedName>
    <definedName name="solver_rel4" localSheetId="2" hidden="1">1</definedName>
    <definedName name="solver_rel5" localSheetId="0" hidden="1">1</definedName>
    <definedName name="solver_rel5" localSheetId="2" hidden="1">1</definedName>
    <definedName name="solver_rel6" localSheetId="0" hidden="1">1</definedName>
    <definedName name="solver_rel6" localSheetId="2" hidden="1">1</definedName>
    <definedName name="solver_rel7" localSheetId="2" hidden="1">2</definedName>
    <definedName name="solver_rel8" localSheetId="2" hidden="1">2</definedName>
    <definedName name="solver_rel9" localSheetId="2" hidden="1">2</definedName>
    <definedName name="solver_rhs1" localSheetId="0" hidden="1">committee!$C$15:$G$15</definedName>
    <definedName name="solver_rhs1" localSheetId="1" hidden="1">"binary"</definedName>
    <definedName name="solver_rhs1" localSheetId="2" hidden="1">"binary"</definedName>
    <definedName name="solver_rhs10" localSheetId="2" hidden="1">1</definedName>
    <definedName name="solver_rhs2" localSheetId="0" hidden="1">"binary"</definedName>
    <definedName name="solver_rhs2" localSheetId="1" hidden="1">1</definedName>
    <definedName name="solver_rhs2" localSheetId="2" hidden="1">1</definedName>
    <definedName name="solver_rhs3" localSheetId="0" hidden="1">committee!$N$3</definedName>
    <definedName name="solver_rhs3" localSheetId="2" hidden="1">1</definedName>
    <definedName name="solver_rhs4" localSheetId="0" hidden="1">committee!$N$4</definedName>
    <definedName name="solver_rhs4" localSheetId="2" hidden="1">1</definedName>
    <definedName name="solver_rhs5" localSheetId="0" hidden="1">committee!$N$5</definedName>
    <definedName name="solver_rhs5" localSheetId="2" hidden="1">1</definedName>
    <definedName name="solver_rhs6" localSheetId="0" hidden="1">committee!$N$5</definedName>
    <definedName name="solver_rhs6" localSheetId="2" hidden="1">1</definedName>
    <definedName name="solver_rhs7" localSheetId="2" hidden="1">1</definedName>
    <definedName name="solver_rhs8" localSheetId="2" hidden="1">1</definedName>
    <definedName name="solver_rhs9" localSheetId="2" hidden="1">1</definedName>
    <definedName name="solver_rlx" localSheetId="0" hidden="1">2</definedName>
    <definedName name="solver_rlx" localSheetId="1" hidden="1">2</definedName>
    <definedName name="solver_rlx" localSheetId="2" hidden="1">1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1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4" i="3"/>
  <c r="I4" i="3"/>
  <c r="D8" i="3"/>
  <c r="C8" i="3"/>
  <c r="E8" i="3"/>
  <c r="F8" i="3"/>
  <c r="B8" i="3"/>
  <c r="J8" i="2"/>
  <c r="J7" i="2"/>
  <c r="J6" i="2"/>
  <c r="J5" i="2"/>
  <c r="J4" i="2"/>
  <c r="J13" i="2"/>
  <c r="J9" i="2"/>
  <c r="J10" i="2"/>
  <c r="J11" i="2"/>
  <c r="J12" i="2"/>
  <c r="C16" i="1"/>
  <c r="L5" i="1"/>
  <c r="E16" i="1"/>
  <c r="D16" i="1"/>
  <c r="L4" i="1"/>
  <c r="F16" i="1"/>
  <c r="G16" i="1"/>
  <c r="I15" i="1"/>
  <c r="L3" i="1"/>
</calcChain>
</file>

<file path=xl/sharedStrings.xml><?xml version="1.0" encoding="utf-8"?>
<sst xmlns="http://schemas.openxmlformats.org/spreadsheetml/2006/main" count="54" uniqueCount="44">
  <si>
    <t>COMMITTEE Problem</t>
  </si>
  <si>
    <t>Candidates</t>
  </si>
  <si>
    <t>Female</t>
  </si>
  <si>
    <t>Male</t>
  </si>
  <si>
    <t>Student</t>
  </si>
  <si>
    <t>Admin</t>
  </si>
  <si>
    <t>Faculty</t>
  </si>
  <si>
    <t xml:space="preserve">Selected </t>
  </si>
  <si>
    <t>Required:</t>
  </si>
  <si>
    <t>Total:</t>
  </si>
  <si>
    <t>Included:</t>
  </si>
  <si>
    <t>EMERGENCY VEHICLES Problem</t>
  </si>
  <si>
    <t>S1</t>
  </si>
  <si>
    <t>S2</t>
  </si>
  <si>
    <t>S3</t>
  </si>
  <si>
    <t>S4</t>
  </si>
  <si>
    <t>S5</t>
  </si>
  <si>
    <t>S6</t>
  </si>
  <si>
    <t>S7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</si>
  <si>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</si>
  <si>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</si>
  <si>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</si>
  <si>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</si>
  <si>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</si>
  <si>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</si>
  <si>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</si>
  <si>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</si>
  <si>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</si>
  <si>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Sites Selected for Vehicle Location</t>
  </si>
  <si>
    <t>Number of Vehicles</t>
  </si>
  <si>
    <t>Swimmers Problem</t>
  </si>
  <si>
    <t>SW1</t>
  </si>
  <si>
    <t>SW2</t>
  </si>
  <si>
    <t>SW3</t>
  </si>
  <si>
    <t>SW4</t>
  </si>
  <si>
    <t>SW5</t>
  </si>
  <si>
    <t>Total Time</t>
  </si>
  <si>
    <t>Backstroke</t>
  </si>
  <si>
    <t>Breaststroke</t>
  </si>
  <si>
    <t>Butterfly</t>
  </si>
  <si>
    <t>Freestyle</t>
  </si>
  <si>
    <t>additional constraint</t>
  </si>
  <si>
    <t>=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</si>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</sst>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  <xf numFmtId="0" fontId="3" fillId="0" borderId="0" xfId="1" applyFont="1" applyAlignment="1">
      <alignment horizontal="left"/>
    </xf>
    <xf numFmtId="0" fontId="1" fillId="3" borderId="0" xfId="1" applyFill="1" applyAlignment="1">
      <alignment horizontal="center"/>
    </xf>
    <xf numFmtId="0" fontId="1" fillId="4" borderId="0" xfId="1" applyFill="1" applyAlignment="1">
      <alignment horizontal="center"/>
    </xf>
    <xf numFmtId="1" fontId="1" fillId="5" borderId="0" xfId="1" applyNumberFormat="1" applyFill="1" applyAlignment="1">
      <alignment horizontal="center"/>
    </xf>
    <xf numFmtId="1" fontId="1" fillId="6" borderId="0" xfId="1" applyNumberFormat="1" applyFill="1" applyAlignment="1">
      <alignment horizontal="center"/>
    </xf>
    <xf numFmtId="1" fontId="1" fillId="4" borderId="0" xfId="1" applyNumberFormat="1" applyFill="1" applyAlignment="1">
      <alignment horizontal="center"/>
    </xf>
    <xf numFmtId="1" fontId="1" fillId="2" borderId="0" xfId="1" applyNumberFormat="1" applyFill="1" applyAlignment="1">
      <alignment horizontal="center"/>
    </xf>
    <xf numFmtId="1" fontId="1" fillId="7" borderId="0" xfId="1" applyNumberFormat="1" applyFill="1" applyAlignment="1">
      <alignment horizontal="center"/>
    </xf>
    <xf numFmtId="1" fontId="0" fillId="8" borderId="0" xfId="0" applyNumberFormat="1" applyFill="1"/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K19" sqref="K19"/>
    </sheetView>
  </sheetViews>
  <sheetFormatPr baseColWidth="10" defaultColWidth="8.83203125" defaultRowHeight="15" x14ac:dyDescent="0.2"/>
  <cols>
    <col min="11" max="11" width="18" customWidth="1"/>
  </cols>
  <sheetData>
    <row r="1" spans="1:14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4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4" x14ac:dyDescent="0.2">
      <c r="A3" s="2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2"/>
      <c r="I3" s="4" t="s">
        <v>7</v>
      </c>
      <c r="J3" s="2"/>
      <c r="K3" s="4" t="s">
        <v>41</v>
      </c>
      <c r="L3" s="15">
        <f>I9-I8</f>
        <v>0</v>
      </c>
      <c r="M3" t="s">
        <v>42</v>
      </c>
      <c r="N3">
        <v>0</v>
      </c>
    </row>
    <row r="4" spans="1:14" x14ac:dyDescent="0.2">
      <c r="A4" s="2"/>
      <c r="B4" s="5">
        <v>1</v>
      </c>
      <c r="C4" s="5">
        <v>1</v>
      </c>
      <c r="D4" s="5">
        <v>0</v>
      </c>
      <c r="E4" s="5">
        <v>1</v>
      </c>
      <c r="F4" s="5">
        <v>0</v>
      </c>
      <c r="G4" s="5">
        <v>0</v>
      </c>
      <c r="H4" s="2"/>
      <c r="I4" s="14">
        <v>0</v>
      </c>
      <c r="J4" s="2"/>
      <c r="L4" s="15">
        <f>I9-I11</f>
        <v>0</v>
      </c>
      <c r="M4" t="s">
        <v>43</v>
      </c>
      <c r="N4">
        <v>0</v>
      </c>
    </row>
    <row r="5" spans="1:14" x14ac:dyDescent="0.2">
      <c r="A5" s="2"/>
      <c r="B5" s="5">
        <v>2</v>
      </c>
      <c r="C5" s="5">
        <v>1</v>
      </c>
      <c r="D5" s="5">
        <v>0</v>
      </c>
      <c r="E5" s="5">
        <v>1</v>
      </c>
      <c r="F5" s="5">
        <v>0</v>
      </c>
      <c r="G5" s="5">
        <v>0</v>
      </c>
      <c r="H5" s="2"/>
      <c r="I5" s="14">
        <v>0</v>
      </c>
      <c r="J5" s="2"/>
      <c r="L5" s="15">
        <f>SUM(I4:I8)</f>
        <v>1</v>
      </c>
      <c r="M5" t="s">
        <v>43</v>
      </c>
      <c r="N5">
        <v>1</v>
      </c>
    </row>
    <row r="6" spans="1:14" x14ac:dyDescent="0.2">
      <c r="A6" s="2"/>
      <c r="B6" s="5">
        <v>3</v>
      </c>
      <c r="C6" s="5">
        <v>1</v>
      </c>
      <c r="D6" s="5">
        <v>0</v>
      </c>
      <c r="E6" s="5">
        <v>1</v>
      </c>
      <c r="F6" s="5">
        <v>0</v>
      </c>
      <c r="G6" s="5">
        <v>0</v>
      </c>
      <c r="H6" s="2"/>
      <c r="I6" s="14">
        <v>0</v>
      </c>
      <c r="J6" s="2"/>
    </row>
    <row r="7" spans="1:14" x14ac:dyDescent="0.2">
      <c r="A7" s="2"/>
      <c r="B7" s="5">
        <v>4</v>
      </c>
      <c r="C7" s="5">
        <v>1</v>
      </c>
      <c r="D7" s="5">
        <v>0</v>
      </c>
      <c r="E7" s="5">
        <v>0</v>
      </c>
      <c r="F7" s="5">
        <v>0</v>
      </c>
      <c r="G7" s="5">
        <v>1</v>
      </c>
      <c r="H7" s="2"/>
      <c r="I7" s="14">
        <v>0</v>
      </c>
      <c r="J7" s="2"/>
    </row>
    <row r="8" spans="1:14" x14ac:dyDescent="0.2">
      <c r="A8" s="2"/>
      <c r="B8" s="5">
        <v>5</v>
      </c>
      <c r="C8" s="5">
        <v>1</v>
      </c>
      <c r="D8" s="5">
        <v>0</v>
      </c>
      <c r="E8" s="5">
        <v>0</v>
      </c>
      <c r="F8" s="5">
        <v>1</v>
      </c>
      <c r="G8" s="5">
        <v>0</v>
      </c>
      <c r="H8" s="2"/>
      <c r="I8" s="14">
        <v>1</v>
      </c>
      <c r="J8" s="2"/>
    </row>
    <row r="9" spans="1:14" x14ac:dyDescent="0.2">
      <c r="A9" s="2"/>
      <c r="B9" s="5">
        <v>6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2"/>
      <c r="I9" s="14">
        <v>1</v>
      </c>
      <c r="J9" s="2"/>
    </row>
    <row r="10" spans="1:14" x14ac:dyDescent="0.2">
      <c r="A10" s="2"/>
      <c r="B10" s="5">
        <v>7</v>
      </c>
      <c r="C10" s="5">
        <v>0</v>
      </c>
      <c r="D10" s="5">
        <v>1</v>
      </c>
      <c r="E10" s="5">
        <v>0</v>
      </c>
      <c r="F10" s="5">
        <v>0</v>
      </c>
      <c r="G10" s="5">
        <v>1</v>
      </c>
      <c r="H10" s="2"/>
      <c r="I10" s="14">
        <v>0</v>
      </c>
      <c r="J10" s="2"/>
    </row>
    <row r="11" spans="1:14" x14ac:dyDescent="0.2">
      <c r="A11" s="2"/>
      <c r="B11" s="5">
        <v>8</v>
      </c>
      <c r="C11" s="5">
        <v>0</v>
      </c>
      <c r="D11" s="5">
        <v>1</v>
      </c>
      <c r="E11" s="5">
        <v>0</v>
      </c>
      <c r="F11" s="5">
        <v>0</v>
      </c>
      <c r="G11" s="5">
        <v>1</v>
      </c>
      <c r="H11" s="2"/>
      <c r="I11" s="14">
        <v>1</v>
      </c>
      <c r="J11" s="2"/>
    </row>
    <row r="12" spans="1:14" x14ac:dyDescent="0.2">
      <c r="A12" s="2"/>
      <c r="B12" s="5">
        <v>9</v>
      </c>
      <c r="C12" s="5">
        <v>0</v>
      </c>
      <c r="D12" s="5">
        <v>1</v>
      </c>
      <c r="E12" s="5">
        <v>0</v>
      </c>
      <c r="F12" s="5">
        <v>0</v>
      </c>
      <c r="G12" s="5">
        <v>1</v>
      </c>
      <c r="H12" s="2"/>
      <c r="I12" s="14">
        <v>0</v>
      </c>
      <c r="J12" s="2"/>
    </row>
    <row r="13" spans="1:14" x14ac:dyDescent="0.2">
      <c r="A13" s="2"/>
      <c r="B13" s="5">
        <v>10</v>
      </c>
      <c r="C13" s="5">
        <v>0</v>
      </c>
      <c r="D13" s="5">
        <v>1</v>
      </c>
      <c r="E13" s="5">
        <v>1</v>
      </c>
      <c r="F13" s="5">
        <v>0</v>
      </c>
      <c r="G13" s="5">
        <v>0</v>
      </c>
      <c r="H13" s="2"/>
      <c r="I13" s="14">
        <v>1</v>
      </c>
      <c r="J13" s="2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4" x14ac:dyDescent="0.2">
      <c r="A15" s="2"/>
      <c r="B15" s="3" t="s">
        <v>8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3" t="s">
        <v>9</v>
      </c>
      <c r="I15" s="13">
        <f>SUM(I4:I13)</f>
        <v>4</v>
      </c>
      <c r="J15" s="2"/>
    </row>
    <row r="16" spans="1:14" x14ac:dyDescent="0.2">
      <c r="A16" s="2"/>
      <c r="B16" s="7" t="s">
        <v>10</v>
      </c>
      <c r="C16" s="8">
        <f>SUMPRODUCT(C4:C13,$I$4:$I$13)</f>
        <v>1</v>
      </c>
      <c r="D16" s="8">
        <f>SUMPRODUCT(D4:D13,$I$4:$I$13)</f>
        <v>3</v>
      </c>
      <c r="E16" s="8">
        <f>SUMPRODUCT(E4:E13,$I$4:$I$13)</f>
        <v>1</v>
      </c>
      <c r="F16" s="8">
        <f t="shared" ref="F16:G16" si="0">SUMPRODUCT(F4:F13,$I$4:$I$13)</f>
        <v>2</v>
      </c>
      <c r="G16" s="8">
        <f t="shared" si="0"/>
        <v>1</v>
      </c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I18" s="2"/>
      <c r="J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workbookViewId="0">
      <selection activeCell="M7" sqref="M7"/>
    </sheetView>
  </sheetViews>
  <sheetFormatPr baseColWidth="10" defaultColWidth="8.83203125" defaultRowHeight="15" x14ac:dyDescent="0.2"/>
  <sheetData>
    <row r="1" spans="1:15" ht="18" x14ac:dyDescent="0.2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5"/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2"/>
      <c r="K3" s="2"/>
      <c r="L3" s="2"/>
      <c r="M3" s="2"/>
      <c r="N3" s="2"/>
      <c r="O3" s="2"/>
    </row>
    <row r="4" spans="1:15" x14ac:dyDescent="0.2">
      <c r="A4" s="2"/>
      <c r="B4" s="4" t="s">
        <v>19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1</v>
      </c>
      <c r="J4" s="9">
        <f>SUMPRODUCT(C4:I4,$C$13:$I$13)</f>
        <v>2</v>
      </c>
      <c r="K4" s="2"/>
      <c r="L4" s="2"/>
      <c r="M4" s="2"/>
      <c r="N4" s="2"/>
      <c r="O4" s="2"/>
    </row>
    <row r="5" spans="1:15" x14ac:dyDescent="0.2">
      <c r="A5" s="2"/>
      <c r="B5" s="4" t="s">
        <v>20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1</v>
      </c>
      <c r="J5" s="9">
        <f>SUMPRODUCT(C5:I5,$C$13:$I$13)</f>
        <v>1</v>
      </c>
      <c r="K5" s="2"/>
      <c r="L5" s="2"/>
      <c r="M5" s="2"/>
      <c r="N5" s="2"/>
      <c r="O5" s="2"/>
    </row>
    <row r="6" spans="1:15" x14ac:dyDescent="0.2">
      <c r="A6" s="2"/>
      <c r="B6" s="4" t="s">
        <v>21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9">
        <f>SUMPRODUCT(C6:I6,$C$13:$I$13)</f>
        <v>1</v>
      </c>
      <c r="K6" s="2"/>
      <c r="L6" s="2"/>
      <c r="M6" s="2"/>
      <c r="N6" s="2"/>
      <c r="O6" s="2"/>
    </row>
    <row r="7" spans="1:15" x14ac:dyDescent="0.2">
      <c r="A7" s="2"/>
      <c r="B7" s="4" t="s">
        <v>22</v>
      </c>
      <c r="C7" s="5">
        <v>0</v>
      </c>
      <c r="D7" s="5">
        <v>1</v>
      </c>
      <c r="E7" s="5">
        <v>1</v>
      </c>
      <c r="F7" s="5">
        <v>0</v>
      </c>
      <c r="G7" s="5">
        <v>1</v>
      </c>
      <c r="H7" s="5">
        <v>1</v>
      </c>
      <c r="I7" s="5">
        <v>0</v>
      </c>
      <c r="J7" s="9">
        <f>SUMPRODUCT(C7:I7,$C$13:$I$13)</f>
        <v>1</v>
      </c>
      <c r="K7" s="2"/>
      <c r="L7" s="2"/>
      <c r="M7" s="2"/>
      <c r="N7" s="2"/>
      <c r="O7" s="2"/>
    </row>
    <row r="8" spans="1:15" x14ac:dyDescent="0.2">
      <c r="A8" s="2"/>
      <c r="B8" s="4" t="s">
        <v>23</v>
      </c>
      <c r="C8" s="5">
        <v>1</v>
      </c>
      <c r="D8" s="5">
        <v>0</v>
      </c>
      <c r="E8" s="5">
        <v>1</v>
      </c>
      <c r="F8" s="5">
        <v>0</v>
      </c>
      <c r="G8" s="5">
        <v>1</v>
      </c>
      <c r="H8" s="5">
        <v>0</v>
      </c>
      <c r="I8" s="5">
        <v>0</v>
      </c>
      <c r="J8" s="9">
        <f>SUMPRODUCT(C8:I8,$C$13:$I$13)</f>
        <v>1</v>
      </c>
      <c r="K8" s="2"/>
      <c r="L8" s="2"/>
      <c r="M8" s="2"/>
      <c r="N8" s="2"/>
      <c r="O8" s="2"/>
    </row>
    <row r="9" spans="1:15" x14ac:dyDescent="0.2">
      <c r="A9" s="2"/>
      <c r="B9" s="4" t="s">
        <v>24</v>
      </c>
      <c r="C9" s="5">
        <v>1</v>
      </c>
      <c r="D9" s="5">
        <v>0</v>
      </c>
      <c r="E9" s="5">
        <v>0</v>
      </c>
      <c r="F9" s="5">
        <v>1</v>
      </c>
      <c r="G9" s="5">
        <v>0</v>
      </c>
      <c r="H9" s="5">
        <v>1</v>
      </c>
      <c r="I9" s="5">
        <v>0</v>
      </c>
      <c r="J9" s="9">
        <f t="shared" ref="J5:J12" si="0">SUMPRODUCT(C9:I9,$C$13:$I$13)</f>
        <v>1</v>
      </c>
      <c r="K9" s="2"/>
      <c r="L9" s="2"/>
      <c r="M9" s="2"/>
      <c r="N9" s="2"/>
      <c r="O9" s="2"/>
    </row>
    <row r="10" spans="1:15" x14ac:dyDescent="0.2">
      <c r="A10" s="2"/>
      <c r="B10" s="4" t="s">
        <v>25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9">
        <f t="shared" si="0"/>
        <v>1</v>
      </c>
      <c r="K10" s="2"/>
      <c r="L10" s="2"/>
      <c r="M10" s="2"/>
      <c r="N10" s="2"/>
      <c r="O10" s="2"/>
    </row>
    <row r="11" spans="1:15" x14ac:dyDescent="0.2">
      <c r="A11" s="2"/>
      <c r="B11" s="4" t="s">
        <v>26</v>
      </c>
      <c r="C11" s="5">
        <v>0</v>
      </c>
      <c r="D11" s="5">
        <v>0</v>
      </c>
      <c r="E11" s="5">
        <v>1</v>
      </c>
      <c r="F11" s="5">
        <v>1</v>
      </c>
      <c r="G11" s="5">
        <v>1</v>
      </c>
      <c r="H11" s="5">
        <v>0</v>
      </c>
      <c r="I11" s="5">
        <v>0</v>
      </c>
      <c r="J11" s="9">
        <f t="shared" si="0"/>
        <v>2</v>
      </c>
      <c r="K11" s="2"/>
      <c r="L11" s="2"/>
      <c r="M11" s="2"/>
      <c r="N11" s="2"/>
      <c r="O11" s="2"/>
    </row>
    <row r="12" spans="1:15" x14ac:dyDescent="0.2">
      <c r="A12" s="2"/>
      <c r="B12" s="4" t="s">
        <v>27</v>
      </c>
      <c r="C12" s="5">
        <v>1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9">
        <f t="shared" si="0"/>
        <v>1</v>
      </c>
      <c r="K12" s="2"/>
      <c r="L12" s="2"/>
      <c r="M12" s="2"/>
      <c r="N12" s="2"/>
      <c r="O12" s="2"/>
    </row>
    <row r="13" spans="1:15" x14ac:dyDescent="0.2">
      <c r="A13" s="2"/>
      <c r="B13" s="5"/>
      <c r="C13" s="10">
        <v>0</v>
      </c>
      <c r="D13" s="10">
        <v>0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3">
        <f>SUM(C13:I13)</f>
        <v>3</v>
      </c>
      <c r="K13" s="2"/>
      <c r="L13" s="2"/>
      <c r="M13" s="2"/>
      <c r="N13" s="2"/>
      <c r="O13" s="2"/>
    </row>
    <row r="14" spans="1:15" x14ac:dyDescent="0.2">
      <c r="A14" s="2"/>
      <c r="B14" s="2"/>
      <c r="C14" s="16" t="s">
        <v>28</v>
      </c>
      <c r="D14" s="16"/>
      <c r="E14" s="16"/>
      <c r="F14" s="16"/>
      <c r="G14" s="16"/>
      <c r="H14" s="16"/>
      <c r="I14" s="16"/>
      <c r="J14" s="3" t="s">
        <v>29</v>
      </c>
      <c r="K14" s="2"/>
      <c r="L14" s="2"/>
      <c r="M14" s="2"/>
      <c r="N14" s="2"/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</sheetData>
  <mergeCells count="1">
    <mergeCell ref="C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abSelected="1" workbookViewId="0">
      <selection activeCell="N24" sqref="N24"/>
    </sheetView>
  </sheetViews>
  <sheetFormatPr baseColWidth="10" defaultColWidth="8.83203125" defaultRowHeight="15" x14ac:dyDescent="0.2"/>
  <sheetData>
    <row r="1" spans="1:12" ht="18" x14ac:dyDescent="0.2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2"/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2"/>
      <c r="H3" s="2"/>
      <c r="I3" s="4" t="s">
        <v>36</v>
      </c>
      <c r="J3" s="2"/>
      <c r="K3" s="2"/>
      <c r="L3" s="2"/>
    </row>
    <row r="4" spans="1:12" x14ac:dyDescent="0.2">
      <c r="A4" s="4" t="s">
        <v>37</v>
      </c>
      <c r="B4" s="11">
        <v>0</v>
      </c>
      <c r="C4" s="11">
        <v>0</v>
      </c>
      <c r="D4" s="11">
        <v>1</v>
      </c>
      <c r="E4" s="11">
        <v>0</v>
      </c>
      <c r="F4" s="11">
        <v>0</v>
      </c>
      <c r="G4" s="12">
        <f>SUM(B4:F4)</f>
        <v>1</v>
      </c>
      <c r="H4" s="2"/>
      <c r="I4" s="6">
        <f>SUMPRODUCT(B4:F7,B12:F15)</f>
        <v>126.2</v>
      </c>
      <c r="J4" s="2"/>
      <c r="K4" s="2"/>
      <c r="L4" s="2"/>
    </row>
    <row r="5" spans="1:12" x14ac:dyDescent="0.2">
      <c r="A5" s="4" t="s">
        <v>38</v>
      </c>
      <c r="B5" s="11">
        <v>0</v>
      </c>
      <c r="C5" s="11">
        <v>0</v>
      </c>
      <c r="D5" s="11">
        <v>0</v>
      </c>
      <c r="E5" s="11">
        <v>1</v>
      </c>
      <c r="F5" s="11">
        <v>0</v>
      </c>
      <c r="G5" s="12">
        <f t="shared" ref="G5:G7" si="0">SUM(B5:F5)</f>
        <v>1</v>
      </c>
      <c r="H5" s="2"/>
      <c r="I5" s="2"/>
      <c r="J5" s="2"/>
      <c r="K5" s="2"/>
      <c r="L5" s="2"/>
    </row>
    <row r="6" spans="1:12" x14ac:dyDescent="0.2">
      <c r="A6" s="4" t="s">
        <v>39</v>
      </c>
      <c r="B6" s="11">
        <v>0</v>
      </c>
      <c r="C6" s="11">
        <v>1</v>
      </c>
      <c r="D6" s="11">
        <v>0</v>
      </c>
      <c r="E6" s="11">
        <v>0</v>
      </c>
      <c r="F6" s="11">
        <v>0</v>
      </c>
      <c r="G6" s="12">
        <f t="shared" si="0"/>
        <v>1</v>
      </c>
      <c r="H6" s="2"/>
      <c r="I6" s="2"/>
      <c r="J6" s="2"/>
      <c r="K6" s="2"/>
      <c r="L6" s="2"/>
    </row>
    <row r="7" spans="1:12" x14ac:dyDescent="0.2">
      <c r="A7" s="4" t="s">
        <v>40</v>
      </c>
      <c r="B7" s="11">
        <v>1</v>
      </c>
      <c r="C7" s="11">
        <v>0</v>
      </c>
      <c r="D7" s="11">
        <v>0</v>
      </c>
      <c r="E7" s="11">
        <v>0</v>
      </c>
      <c r="F7" s="11">
        <v>0</v>
      </c>
      <c r="G7" s="12">
        <f t="shared" si="0"/>
        <v>1</v>
      </c>
      <c r="H7" s="2"/>
      <c r="I7" s="2"/>
      <c r="J7" s="2"/>
      <c r="K7" s="2"/>
      <c r="L7" s="2"/>
    </row>
    <row r="8" spans="1:12" x14ac:dyDescent="0.2">
      <c r="A8" s="2"/>
      <c r="B8" s="12">
        <f>SUM(B4:B7)</f>
        <v>1</v>
      </c>
      <c r="C8" s="12">
        <f>SUM(C4:C7)</f>
        <v>1</v>
      </c>
      <c r="D8" s="12">
        <f>SUM(D4:D7)</f>
        <v>1</v>
      </c>
      <c r="E8" s="12">
        <f t="shared" ref="C8:F8" si="1">SUM(E4:E7)</f>
        <v>1</v>
      </c>
      <c r="F8" s="12">
        <f t="shared" si="1"/>
        <v>0</v>
      </c>
      <c r="G8" s="2"/>
      <c r="H8" s="2"/>
      <c r="I8" s="2"/>
      <c r="J8" s="2"/>
      <c r="K8" s="2"/>
      <c r="L8" s="2"/>
    </row>
    <row r="9" spans="1:12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">
      <c r="A11" s="2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  <c r="G11" s="2"/>
      <c r="H11" s="2"/>
      <c r="I11" s="2"/>
      <c r="J11" s="2"/>
      <c r="K11" s="2"/>
      <c r="L11" s="2"/>
    </row>
    <row r="12" spans="1:12" x14ac:dyDescent="0.2">
      <c r="A12" s="4" t="s">
        <v>37</v>
      </c>
      <c r="B12" s="5">
        <v>37.700000000000003</v>
      </c>
      <c r="C12" s="5">
        <v>32.9</v>
      </c>
      <c r="D12" s="5">
        <v>33.799999999999997</v>
      </c>
      <c r="E12" s="5">
        <v>37</v>
      </c>
      <c r="F12" s="5">
        <v>35.4</v>
      </c>
      <c r="G12" s="2"/>
      <c r="H12" s="2"/>
      <c r="I12" s="2"/>
      <c r="J12" s="2"/>
      <c r="K12" s="2"/>
      <c r="L12" s="2"/>
    </row>
    <row r="13" spans="1:12" x14ac:dyDescent="0.2">
      <c r="A13" s="4" t="s">
        <v>38</v>
      </c>
      <c r="B13" s="5">
        <v>43.4</v>
      </c>
      <c r="C13" s="5">
        <v>33.1</v>
      </c>
      <c r="D13" s="5">
        <v>42.2</v>
      </c>
      <c r="E13" s="5">
        <v>34.700000000000003</v>
      </c>
      <c r="F13" s="5">
        <v>41.8</v>
      </c>
      <c r="G13" s="2"/>
      <c r="H13" s="2"/>
      <c r="I13" s="2"/>
      <c r="J13" s="2"/>
      <c r="K13" s="2"/>
      <c r="L13" s="2"/>
    </row>
    <row r="14" spans="1:12" x14ac:dyDescent="0.2">
      <c r="A14" s="4" t="s">
        <v>39</v>
      </c>
      <c r="B14" s="5">
        <v>33.299999999999997</v>
      </c>
      <c r="C14" s="5">
        <v>28.5</v>
      </c>
      <c r="D14" s="5">
        <v>38.9</v>
      </c>
      <c r="E14" s="5">
        <v>30.4</v>
      </c>
      <c r="F14" s="5">
        <v>33.6</v>
      </c>
      <c r="G14" s="2"/>
      <c r="H14" s="2"/>
      <c r="I14" s="2"/>
      <c r="J14" s="2"/>
      <c r="K14" s="2"/>
      <c r="L14" s="2"/>
    </row>
    <row r="15" spans="1:12" x14ac:dyDescent="0.2">
      <c r="A15" s="4" t="s">
        <v>40</v>
      </c>
      <c r="B15" s="5">
        <v>29.2</v>
      </c>
      <c r="C15" s="5">
        <v>26.4</v>
      </c>
      <c r="D15" s="5">
        <v>29.6</v>
      </c>
      <c r="E15" s="5">
        <v>28.5</v>
      </c>
      <c r="F15" s="5">
        <v>31.1</v>
      </c>
      <c r="G15" s="2"/>
      <c r="H15" s="2"/>
      <c r="I15" s="2"/>
      <c r="J15" s="2"/>
      <c r="K15" s="2"/>
      <c r="L15" s="2"/>
    </row>
    <row r="16" spans="1:1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committee</vt:lpstr>
      <vt:lpstr>emergency vehichles</vt:lpstr>
      <vt:lpstr>swimmers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2026-02-24T14:27:04Z</dcterms:modified>
</cp:coreProperties>
</file>