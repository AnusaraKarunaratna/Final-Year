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8_{D5EEB54A-539F-FD4C-9E2D-DC3CCA7E420B}" xr6:coauthVersionLast="47" xr6:coauthVersionMax="47" xr10:uidLastSave="{00000000-0000-0000-0000-000000000000}"/>
  <bookViews>
    <workbookView xWindow="0" yWindow="600" windowWidth="28380" windowHeight="16140" activeTab="1" xr2:uid="{00000000-000D-0000-FFFF-FFFF00000000}"/>
  </bookViews>
  <sheets>
    <sheet name="generalised assignment" sheetId="5" r:id="rId1"/>
    <sheet name="bin packing" sheetId="6" r:id="rId2"/>
  </sheets>
  <definedNames>
    <definedName name="solver_adj" localSheetId="1" hidden="1">'bin packing'!$C$4:$H$15,'bin packing'!$C$18:$H$18</definedName>
    <definedName name="solver_adj" localSheetId="0" hidden="1">'generalised assignment'!$P$6:$T$35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0" hidden="1">1</definedName>
    <definedName name="solver_itr" localSheetId="1" hidden="1">1000</definedName>
    <definedName name="solver_itr" localSheetId="0" hidden="1">1000</definedName>
    <definedName name="solver_lhs1" localSheetId="1" hidden="1">'bin packing'!$C$18:$H$18</definedName>
    <definedName name="solver_lhs1" localSheetId="0" hidden="1">'generalised assignment'!$I$38:$M$38</definedName>
    <definedName name="solver_lhs2" localSheetId="1" hidden="1">'bin packing'!$C$20:$H$20</definedName>
    <definedName name="solver_lhs2" localSheetId="0" hidden="1">'generalised assignment'!$P$6:$T$35</definedName>
    <definedName name="solver_lhs3" localSheetId="1" hidden="1">'bin packing'!$C$4:$H$15</definedName>
    <definedName name="solver_lhs3" localSheetId="0" hidden="1">'generalised assignment'!$U$6:$U$35</definedName>
    <definedName name="solver_lhs4" localSheetId="1" hidden="1">'bin packing'!$I$4:$I$15</definedName>
    <definedName name="solver_lin" localSheetId="1" hidden="1">1</definedName>
    <definedName name="solver_lin" localSheetId="0" hidden="1">1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4</definedName>
    <definedName name="solver_num" localSheetId="0" hidden="1">3</definedName>
    <definedName name="solver_nwt" localSheetId="0" hidden="1">1</definedName>
    <definedName name="solver_opt" localSheetId="1" hidden="1">'bin packing'!$C$22</definedName>
    <definedName name="solver_opt" localSheetId="0" hidden="1">'generalised assignment'!$T$37</definedName>
    <definedName name="solver_pre" localSheetId="1" hidden="1">0.001</definedName>
    <definedName name="solver_pre" localSheetId="0" hidden="1">0.001</definedName>
    <definedName name="solver_rbv" localSheetId="1" hidden="1">1</definedName>
    <definedName name="solver_rbv" localSheetId="0" hidden="1">1</definedName>
    <definedName name="solver_rel1" localSheetId="1" hidden="1">5</definedName>
    <definedName name="solver_rel1" localSheetId="0" hidden="1">1</definedName>
    <definedName name="solver_rel2" localSheetId="1" hidden="1">1</definedName>
    <definedName name="solver_rel2" localSheetId="0" hidden="1">5</definedName>
    <definedName name="solver_rel3" localSheetId="1" hidden="1">5</definedName>
    <definedName name="solver_rel3" localSheetId="0" hidden="1">2</definedName>
    <definedName name="solver_rel4" localSheetId="1" hidden="1">2</definedName>
    <definedName name="solver_rhs1" localSheetId="1" hidden="1">"binary"</definedName>
    <definedName name="solver_rhs1" localSheetId="0" hidden="1">'generalised assignment'!$I$37:$M$37</definedName>
    <definedName name="solver_rhs2" localSheetId="1" hidden="1">'bin packing'!$C$21:$H$21</definedName>
    <definedName name="solver_rhs2" localSheetId="0" hidden="1">"binary"</definedName>
    <definedName name="solver_rhs3" localSheetId="1" hidden="1">"binary"</definedName>
    <definedName name="solver_rhs3" localSheetId="0" hidden="1">1</definedName>
    <definedName name="solver_rhs4" localSheetId="1" hidden="1">'bin packing'!$K$4:$K$15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120</definedName>
    <definedName name="solver_tim" localSheetId="0" hidden="1">120</definedName>
    <definedName name="solver_tol" localSheetId="1" hidden="1">0.01</definedName>
    <definedName name="solver_tol" localSheetId="0" hidden="1">0.04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2</definedName>
    <definedName name="solver_ver" localSheetId="0" hidden="1">2</definedName>
  </definedNames>
  <calcPr calcId="191029" calcMode="manual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6" l="1"/>
  <c r="D21" i="6"/>
  <c r="E21" i="6"/>
  <c r="F21" i="6"/>
  <c r="G21" i="6"/>
  <c r="H21" i="6"/>
  <c r="C21" i="6"/>
  <c r="H20" i="6"/>
  <c r="G20" i="6"/>
  <c r="F20" i="6"/>
  <c r="E20" i="6"/>
  <c r="D20" i="6"/>
  <c r="C20" i="6"/>
  <c r="I5" i="6"/>
  <c r="I6" i="6"/>
  <c r="I7" i="6"/>
  <c r="I8" i="6"/>
  <c r="I9" i="6"/>
  <c r="I10" i="6"/>
  <c r="I11" i="6"/>
  <c r="I12" i="6"/>
  <c r="I13" i="6"/>
  <c r="I14" i="6"/>
  <c r="I15" i="6"/>
  <c r="I4" i="6"/>
  <c r="T37" i="5"/>
  <c r="J38" i="5"/>
  <c r="K38" i="5"/>
  <c r="L38" i="5"/>
  <c r="M38" i="5"/>
  <c r="I38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B16" i="6"/>
</calcChain>
</file>

<file path=xl/sharedStrings.xml><?xml version="1.0" encoding="utf-8"?>
<sst xmlns="http://schemas.openxmlformats.org/spreadsheetml/2006/main" count="170" uniqueCount="59">
  <si>
    <t>Generalised Assignment Problem N=30 M=5</t>
  </si>
  <si>
    <r>
      <t>Cost c</t>
    </r>
    <r>
      <rPr>
        <b/>
        <vertAlign val="subscript"/>
        <sz val="10"/>
        <rFont val="Arial"/>
        <family val="2"/>
      </rPr>
      <t>ij</t>
    </r>
  </si>
  <si>
    <r>
      <t>Time t</t>
    </r>
    <r>
      <rPr>
        <b/>
        <vertAlign val="subscript"/>
        <sz val="10"/>
        <rFont val="Arial"/>
        <family val="2"/>
      </rPr>
      <t>ij</t>
    </r>
  </si>
  <si>
    <t>j=1</t>
  </si>
  <si>
    <t>j=2</t>
  </si>
  <si>
    <t>j=3</t>
  </si>
  <si>
    <t>j=4</t>
  </si>
  <si>
    <t>j=5</t>
  </si>
  <si>
    <t>i=1</t>
  </si>
  <si>
    <t>i=2</t>
  </si>
  <si>
    <t>i=3</t>
  </si>
  <si>
    <t>i=4</t>
  </si>
  <si>
    <t>i=5</t>
  </si>
  <si>
    <t>i=6</t>
  </si>
  <si>
    <t>i=7</t>
  </si>
  <si>
    <t>i=8</t>
  </si>
  <si>
    <t>i=9</t>
  </si>
  <si>
    <t>i=10</t>
  </si>
  <si>
    <t>i=11</t>
  </si>
  <si>
    <t>i=12</t>
  </si>
  <si>
    <t>i=13</t>
  </si>
  <si>
    <t>i=14</t>
  </si>
  <si>
    <t>i=15</t>
  </si>
  <si>
    <t>i=16</t>
  </si>
  <si>
    <t>i=17</t>
  </si>
  <si>
    <t>i=18</t>
  </si>
  <si>
    <t>i=19</t>
  </si>
  <si>
    <t>i=20</t>
  </si>
  <si>
    <t>i=21</t>
  </si>
  <si>
    <t>i=22</t>
  </si>
  <si>
    <t>i=23</t>
  </si>
  <si>
    <t>i=24</t>
  </si>
  <si>
    <t>i=25</t>
  </si>
  <si>
    <t>i=26</t>
  </si>
  <si>
    <t>i=27</t>
  </si>
  <si>
    <t>i=28</t>
  </si>
  <si>
    <t>i=29</t>
  </si>
  <si>
    <t>i=30</t>
  </si>
  <si>
    <r>
      <t>Time T</t>
    </r>
    <r>
      <rPr>
        <b/>
        <vertAlign val="subscript"/>
        <sz val="10"/>
        <rFont val="Arial"/>
        <family val="2"/>
      </rPr>
      <t>j</t>
    </r>
  </si>
  <si>
    <t xml:space="preserve">BIN PACKING Problem (Linear Formulation) (N = 12, M = 6, B = 1) </t>
  </si>
  <si>
    <t>Item</t>
  </si>
  <si>
    <t>Items Size (Si)</t>
  </si>
  <si>
    <t>Bin1</t>
  </si>
  <si>
    <t>Bin2</t>
  </si>
  <si>
    <t>Bin3</t>
  </si>
  <si>
    <t>Bin4</t>
  </si>
  <si>
    <t>Bin5</t>
  </si>
  <si>
    <t>Bin6</t>
  </si>
  <si>
    <t>Assined</t>
  </si>
  <si>
    <t>Bins Used(Yi)</t>
  </si>
  <si>
    <t>Capacity(B)</t>
  </si>
  <si>
    <t>Used capacity(sixij)</t>
  </si>
  <si>
    <t>Used capacity(YiB)</t>
  </si>
  <si>
    <t>Total used bin</t>
  </si>
  <si>
    <r>
      <t>Decision Variables X</t>
    </r>
    <r>
      <rPr>
        <b/>
        <sz val="8"/>
        <rFont val="Arial"/>
        <family val="2"/>
      </rPr>
      <t>ij</t>
    </r>
  </si>
  <si>
    <t>=</t>
  </si>
  <si>
    <t>Used time</t>
  </si>
  <si>
    <t>Worker assigment for task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</si>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</sst>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3" borderId="0" xfId="0" applyNumberFormat="1" applyFill="1"/>
    <xf numFmtId="0" fontId="3" fillId="0" borderId="0" xfId="0" applyFont="1" applyFill="1" applyAlignment="1">
      <alignment horizontal="center"/>
    </xf>
    <xf numFmtId="0" fontId="0" fillId="0" borderId="0" xfId="0" applyFill="1"/>
    <xf numFmtId="0" fontId="8" fillId="0" borderId="0" xfId="0" applyFont="1"/>
    <xf numFmtId="0" fontId="0" fillId="4" borderId="0" xfId="0" applyFill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9"/>
  <sheetViews>
    <sheetView topLeftCell="A3" workbookViewId="0">
      <selection activeCell="X19" sqref="X19"/>
    </sheetView>
  </sheetViews>
  <sheetFormatPr baseColWidth="10" defaultColWidth="8.83203125" defaultRowHeight="15" x14ac:dyDescent="0.2"/>
  <cols>
    <col min="21" max="21" width="22.1640625" customWidth="1"/>
  </cols>
  <sheetData>
    <row r="1" spans="1:23" ht="18" x14ac:dyDescent="0.2">
      <c r="A1" s="1" t="s">
        <v>0</v>
      </c>
    </row>
    <row r="2" spans="1:23" ht="18" x14ac:dyDescent="0.2">
      <c r="A2" s="1"/>
    </row>
    <row r="3" spans="1:23" x14ac:dyDescent="0.2">
      <c r="B3" s="20" t="s">
        <v>1</v>
      </c>
      <c r="C3" s="20"/>
      <c r="D3" s="20"/>
      <c r="E3" s="20"/>
      <c r="F3" s="20"/>
      <c r="I3" s="20" t="s">
        <v>2</v>
      </c>
      <c r="J3" s="20"/>
      <c r="K3" s="20"/>
      <c r="L3" s="20"/>
      <c r="M3" s="20"/>
      <c r="O3" s="13" t="s">
        <v>54</v>
      </c>
      <c r="P3" s="13"/>
      <c r="Q3" s="13"/>
      <c r="R3" s="13"/>
      <c r="S3" s="13"/>
    </row>
    <row r="5" spans="1:23" x14ac:dyDescent="0.2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I5" s="2" t="s">
        <v>3</v>
      </c>
      <c r="J5" s="2" t="s">
        <v>4</v>
      </c>
      <c r="K5" s="2" t="s">
        <v>5</v>
      </c>
      <c r="L5" s="2" t="s">
        <v>6</v>
      </c>
      <c r="M5" s="2" t="s">
        <v>7</v>
      </c>
      <c r="P5" s="13" t="s">
        <v>3</v>
      </c>
      <c r="Q5" s="13" t="s">
        <v>4</v>
      </c>
      <c r="R5" s="13" t="s">
        <v>5</v>
      </c>
      <c r="S5" s="13" t="s">
        <v>6</v>
      </c>
      <c r="T5" s="13" t="s">
        <v>7</v>
      </c>
      <c r="U5" s="18" t="s">
        <v>57</v>
      </c>
    </row>
    <row r="6" spans="1:23" x14ac:dyDescent="0.2">
      <c r="A6" s="2" t="s">
        <v>8</v>
      </c>
      <c r="B6" s="3">
        <v>16</v>
      </c>
      <c r="C6" s="3">
        <v>14</v>
      </c>
      <c r="D6" s="3">
        <v>25</v>
      </c>
      <c r="E6" s="3">
        <v>11</v>
      </c>
      <c r="F6" s="3">
        <v>18</v>
      </c>
      <c r="H6" s="2" t="s">
        <v>8</v>
      </c>
      <c r="I6" s="3">
        <v>7</v>
      </c>
      <c r="J6" s="4">
        <v>24</v>
      </c>
      <c r="K6" s="4">
        <v>12</v>
      </c>
      <c r="L6" s="4">
        <v>19</v>
      </c>
      <c r="M6" s="4">
        <v>10</v>
      </c>
      <c r="O6" s="13" t="s">
        <v>8</v>
      </c>
      <c r="P6" s="14">
        <v>1</v>
      </c>
      <c r="Q6" s="14">
        <v>0</v>
      </c>
      <c r="R6" s="14">
        <v>0</v>
      </c>
      <c r="S6" s="14">
        <v>0</v>
      </c>
      <c r="T6" s="14">
        <v>0</v>
      </c>
      <c r="U6" s="15">
        <f>SUM(P6:T6)</f>
        <v>1</v>
      </c>
      <c r="V6" s="8" t="s">
        <v>55</v>
      </c>
      <c r="W6">
        <v>1</v>
      </c>
    </row>
    <row r="7" spans="1:23" x14ac:dyDescent="0.2">
      <c r="A7" s="2" t="s">
        <v>9</v>
      </c>
      <c r="B7" s="3">
        <v>16</v>
      </c>
      <c r="C7" s="3">
        <v>15</v>
      </c>
      <c r="D7" s="3">
        <v>23</v>
      </c>
      <c r="E7" s="3">
        <v>16</v>
      </c>
      <c r="F7" s="3">
        <v>11</v>
      </c>
      <c r="G7" s="5"/>
      <c r="H7" s="2" t="s">
        <v>9</v>
      </c>
      <c r="I7" s="4">
        <v>10</v>
      </c>
      <c r="J7" s="4">
        <v>25</v>
      </c>
      <c r="K7" s="4">
        <v>13</v>
      </c>
      <c r="L7" s="4">
        <v>5</v>
      </c>
      <c r="M7" s="4">
        <v>15</v>
      </c>
      <c r="O7" s="13" t="s">
        <v>9</v>
      </c>
      <c r="P7" s="14">
        <v>0</v>
      </c>
      <c r="Q7" s="14">
        <v>0</v>
      </c>
      <c r="R7" s="14">
        <v>0</v>
      </c>
      <c r="S7" s="14">
        <v>0</v>
      </c>
      <c r="T7" s="14">
        <v>1</v>
      </c>
      <c r="U7" s="15">
        <f t="shared" ref="U7:U35" si="0">SUM(P7:T7)</f>
        <v>1</v>
      </c>
      <c r="V7" s="8" t="s">
        <v>55</v>
      </c>
      <c r="W7">
        <v>1</v>
      </c>
    </row>
    <row r="8" spans="1:23" x14ac:dyDescent="0.2">
      <c r="A8" s="2" t="s">
        <v>10</v>
      </c>
      <c r="B8" s="3">
        <v>13</v>
      </c>
      <c r="C8" s="3">
        <v>19</v>
      </c>
      <c r="D8" s="3">
        <v>19</v>
      </c>
      <c r="E8" s="3">
        <v>12</v>
      </c>
      <c r="F8" s="3">
        <v>24</v>
      </c>
      <c r="G8" s="5"/>
      <c r="H8" s="2" t="s">
        <v>10</v>
      </c>
      <c r="I8" s="4">
        <v>9</v>
      </c>
      <c r="J8" s="4">
        <v>12</v>
      </c>
      <c r="K8" s="4">
        <v>7</v>
      </c>
      <c r="L8" s="4">
        <v>7</v>
      </c>
      <c r="M8" s="4">
        <v>13</v>
      </c>
      <c r="O8" s="13" t="s">
        <v>10</v>
      </c>
      <c r="P8" s="14">
        <v>0</v>
      </c>
      <c r="Q8" s="14">
        <v>0</v>
      </c>
      <c r="R8" s="14">
        <v>0</v>
      </c>
      <c r="S8" s="14">
        <v>1</v>
      </c>
      <c r="T8" s="14">
        <v>0</v>
      </c>
      <c r="U8" s="15">
        <f t="shared" si="0"/>
        <v>1</v>
      </c>
      <c r="V8" s="8" t="s">
        <v>55</v>
      </c>
      <c r="W8">
        <v>1</v>
      </c>
    </row>
    <row r="9" spans="1:23" x14ac:dyDescent="0.2">
      <c r="A9" s="2" t="s">
        <v>11</v>
      </c>
      <c r="B9" s="3">
        <v>20</v>
      </c>
      <c r="C9" s="3">
        <v>16</v>
      </c>
      <c r="D9" s="3">
        <v>17</v>
      </c>
      <c r="E9" s="3">
        <v>16</v>
      </c>
      <c r="F9" s="3">
        <v>18</v>
      </c>
      <c r="G9" s="6"/>
      <c r="H9" s="2" t="s">
        <v>11</v>
      </c>
      <c r="I9" s="4">
        <v>13</v>
      </c>
      <c r="J9" s="4">
        <v>24</v>
      </c>
      <c r="K9" s="4">
        <v>13</v>
      </c>
      <c r="L9" s="4">
        <v>15</v>
      </c>
      <c r="M9" s="4">
        <v>24</v>
      </c>
      <c r="O9" s="13" t="s">
        <v>11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5">
        <f t="shared" si="0"/>
        <v>1</v>
      </c>
      <c r="V9" s="8" t="s">
        <v>55</v>
      </c>
      <c r="W9">
        <v>1</v>
      </c>
    </row>
    <row r="10" spans="1:23" x14ac:dyDescent="0.2">
      <c r="A10" s="2" t="s">
        <v>12</v>
      </c>
      <c r="B10" s="3">
        <v>22</v>
      </c>
      <c r="C10" s="3">
        <v>22</v>
      </c>
      <c r="D10" s="3">
        <v>11</v>
      </c>
      <c r="E10" s="3">
        <v>13</v>
      </c>
      <c r="F10" s="3">
        <v>13</v>
      </c>
      <c r="G10" s="6"/>
      <c r="H10" s="2" t="s">
        <v>12</v>
      </c>
      <c r="I10" s="4">
        <v>22</v>
      </c>
      <c r="J10" s="4">
        <v>15</v>
      </c>
      <c r="K10" s="4">
        <v>16</v>
      </c>
      <c r="L10" s="4">
        <v>16</v>
      </c>
      <c r="M10" s="4">
        <v>11</v>
      </c>
      <c r="O10" s="13" t="s">
        <v>12</v>
      </c>
      <c r="P10" s="14">
        <v>0</v>
      </c>
      <c r="Q10" s="14">
        <v>0</v>
      </c>
      <c r="R10" s="14">
        <v>0</v>
      </c>
      <c r="S10" s="14">
        <v>0</v>
      </c>
      <c r="T10" s="14">
        <v>1</v>
      </c>
      <c r="U10" s="15">
        <f t="shared" si="0"/>
        <v>1</v>
      </c>
      <c r="V10" s="8" t="s">
        <v>55</v>
      </c>
      <c r="W10">
        <v>1</v>
      </c>
    </row>
    <row r="11" spans="1:23" x14ac:dyDescent="0.2">
      <c r="A11" s="2" t="s">
        <v>13</v>
      </c>
      <c r="B11" s="3">
        <v>24</v>
      </c>
      <c r="C11" s="3">
        <v>18</v>
      </c>
      <c r="D11" s="3">
        <v>19</v>
      </c>
      <c r="E11" s="3">
        <v>11</v>
      </c>
      <c r="F11" s="3">
        <v>14</v>
      </c>
      <c r="G11" s="6"/>
      <c r="H11" s="2" t="s">
        <v>13</v>
      </c>
      <c r="I11" s="4">
        <v>18</v>
      </c>
      <c r="J11" s="4">
        <v>21</v>
      </c>
      <c r="K11" s="4">
        <v>7</v>
      </c>
      <c r="L11" s="4">
        <v>9</v>
      </c>
      <c r="M11" s="4">
        <v>13</v>
      </c>
      <c r="O11" s="13" t="s">
        <v>13</v>
      </c>
      <c r="P11" s="14">
        <v>0</v>
      </c>
      <c r="Q11" s="14">
        <v>0</v>
      </c>
      <c r="R11" s="14">
        <v>0</v>
      </c>
      <c r="S11" s="14">
        <v>1</v>
      </c>
      <c r="T11" s="14">
        <v>0</v>
      </c>
      <c r="U11" s="15">
        <f t="shared" si="0"/>
        <v>1</v>
      </c>
      <c r="V11" s="8" t="s">
        <v>55</v>
      </c>
      <c r="W11">
        <v>1</v>
      </c>
    </row>
    <row r="12" spans="1:23" x14ac:dyDescent="0.2">
      <c r="A12" s="2" t="s">
        <v>14</v>
      </c>
      <c r="B12" s="3">
        <v>15</v>
      </c>
      <c r="C12" s="3">
        <v>13</v>
      </c>
      <c r="D12" s="3">
        <v>16</v>
      </c>
      <c r="E12" s="3">
        <v>18</v>
      </c>
      <c r="F12" s="3">
        <v>14</v>
      </c>
      <c r="G12" s="6"/>
      <c r="H12" s="2" t="s">
        <v>14</v>
      </c>
      <c r="I12" s="4">
        <v>19</v>
      </c>
      <c r="J12" s="4">
        <v>20</v>
      </c>
      <c r="K12" s="4">
        <v>14</v>
      </c>
      <c r="L12" s="4">
        <v>18</v>
      </c>
      <c r="M12" s="4">
        <v>17</v>
      </c>
      <c r="O12" s="13" t="s">
        <v>14</v>
      </c>
      <c r="P12" s="14">
        <v>0</v>
      </c>
      <c r="Q12" s="14">
        <v>0</v>
      </c>
      <c r="R12" s="14">
        <v>0</v>
      </c>
      <c r="S12" s="14">
        <v>0</v>
      </c>
      <c r="T12" s="14">
        <v>1</v>
      </c>
      <c r="U12" s="15">
        <f t="shared" si="0"/>
        <v>1</v>
      </c>
      <c r="V12" s="8" t="s">
        <v>55</v>
      </c>
      <c r="W12">
        <v>1</v>
      </c>
    </row>
    <row r="13" spans="1:23" x14ac:dyDescent="0.2">
      <c r="A13" s="2" t="s">
        <v>15</v>
      </c>
      <c r="B13" s="3">
        <v>25</v>
      </c>
      <c r="C13" s="3">
        <v>11</v>
      </c>
      <c r="D13" s="3">
        <v>25</v>
      </c>
      <c r="E13" s="3">
        <v>14</v>
      </c>
      <c r="F13" s="3">
        <v>14</v>
      </c>
      <c r="G13" s="6"/>
      <c r="H13" s="2" t="s">
        <v>15</v>
      </c>
      <c r="I13" s="4">
        <v>17</v>
      </c>
      <c r="J13" s="4">
        <v>14</v>
      </c>
      <c r="K13" s="4">
        <v>25</v>
      </c>
      <c r="L13" s="4">
        <v>6</v>
      </c>
      <c r="M13" s="4">
        <v>6</v>
      </c>
      <c r="O13" s="13" t="s">
        <v>15</v>
      </c>
      <c r="P13" s="14">
        <v>0</v>
      </c>
      <c r="Q13" s="14">
        <v>0</v>
      </c>
      <c r="R13" s="14">
        <v>0</v>
      </c>
      <c r="S13" s="14">
        <v>0</v>
      </c>
      <c r="T13" s="14">
        <v>1</v>
      </c>
      <c r="U13" s="15">
        <f t="shared" si="0"/>
        <v>1</v>
      </c>
      <c r="V13" s="8" t="s">
        <v>55</v>
      </c>
      <c r="W13">
        <v>1</v>
      </c>
    </row>
    <row r="14" spans="1:23" x14ac:dyDescent="0.2">
      <c r="A14" s="2" t="s">
        <v>16</v>
      </c>
      <c r="B14" s="3">
        <v>18</v>
      </c>
      <c r="C14" s="3">
        <v>21</v>
      </c>
      <c r="D14" s="3">
        <v>11</v>
      </c>
      <c r="E14" s="3">
        <v>21</v>
      </c>
      <c r="F14" s="3">
        <v>21</v>
      </c>
      <c r="G14" s="6"/>
      <c r="H14" s="2" t="s">
        <v>16</v>
      </c>
      <c r="I14" s="4">
        <v>18</v>
      </c>
      <c r="J14" s="4">
        <v>25</v>
      </c>
      <c r="K14" s="4">
        <v>23</v>
      </c>
      <c r="L14" s="4">
        <v>7</v>
      </c>
      <c r="M14" s="4">
        <v>9</v>
      </c>
      <c r="O14" s="13" t="s">
        <v>16</v>
      </c>
      <c r="P14" s="14">
        <v>0</v>
      </c>
      <c r="Q14" s="14">
        <v>0</v>
      </c>
      <c r="R14" s="14">
        <v>1</v>
      </c>
      <c r="S14" s="14">
        <v>0</v>
      </c>
      <c r="T14" s="14">
        <v>0</v>
      </c>
      <c r="U14" s="15">
        <f t="shared" si="0"/>
        <v>1</v>
      </c>
      <c r="V14" s="8" t="s">
        <v>55</v>
      </c>
      <c r="W14">
        <v>1</v>
      </c>
    </row>
    <row r="15" spans="1:23" x14ac:dyDescent="0.2">
      <c r="A15" s="2" t="s">
        <v>17</v>
      </c>
      <c r="B15" s="3">
        <v>25</v>
      </c>
      <c r="C15" s="3">
        <v>24</v>
      </c>
      <c r="D15" s="3">
        <v>23</v>
      </c>
      <c r="E15" s="3">
        <v>15</v>
      </c>
      <c r="F15" s="3">
        <v>19</v>
      </c>
      <c r="G15" s="6"/>
      <c r="H15" s="2" t="s">
        <v>17</v>
      </c>
      <c r="I15" s="4">
        <v>15</v>
      </c>
      <c r="J15" s="4">
        <v>13</v>
      </c>
      <c r="K15" s="4">
        <v>18</v>
      </c>
      <c r="L15" s="4">
        <v>22</v>
      </c>
      <c r="M15" s="4">
        <v>19</v>
      </c>
      <c r="O15" s="13" t="s">
        <v>17</v>
      </c>
      <c r="P15" s="14">
        <v>0</v>
      </c>
      <c r="Q15" s="14">
        <v>1</v>
      </c>
      <c r="R15" s="14">
        <v>0</v>
      </c>
      <c r="S15" s="14">
        <v>0</v>
      </c>
      <c r="T15" s="14">
        <v>0</v>
      </c>
      <c r="U15" s="15">
        <f t="shared" si="0"/>
        <v>1</v>
      </c>
      <c r="V15" s="8" t="s">
        <v>55</v>
      </c>
      <c r="W15">
        <v>1</v>
      </c>
    </row>
    <row r="16" spans="1:23" x14ac:dyDescent="0.2">
      <c r="A16" s="2" t="s">
        <v>18</v>
      </c>
      <c r="B16" s="3">
        <v>11</v>
      </c>
      <c r="C16" s="3">
        <v>14</v>
      </c>
      <c r="D16" s="3">
        <v>15</v>
      </c>
      <c r="E16" s="3">
        <v>11</v>
      </c>
      <c r="F16" s="3">
        <v>20</v>
      </c>
      <c r="G16" s="6"/>
      <c r="H16" s="2" t="s">
        <v>18</v>
      </c>
      <c r="I16" s="4">
        <v>5</v>
      </c>
      <c r="J16" s="4">
        <v>14</v>
      </c>
      <c r="K16" s="4">
        <v>10</v>
      </c>
      <c r="L16" s="4">
        <v>8</v>
      </c>
      <c r="M16" s="4">
        <v>21</v>
      </c>
      <c r="O16" s="13" t="s">
        <v>18</v>
      </c>
      <c r="P16" s="14">
        <v>1</v>
      </c>
      <c r="Q16" s="14">
        <v>0</v>
      </c>
      <c r="R16" s="14">
        <v>0</v>
      </c>
      <c r="S16" s="14">
        <v>0</v>
      </c>
      <c r="T16" s="14">
        <v>0</v>
      </c>
      <c r="U16" s="15">
        <f t="shared" si="0"/>
        <v>1</v>
      </c>
      <c r="V16" s="8" t="s">
        <v>55</v>
      </c>
      <c r="W16">
        <v>1</v>
      </c>
    </row>
    <row r="17" spans="1:23" x14ac:dyDescent="0.2">
      <c r="A17" s="2" t="s">
        <v>19</v>
      </c>
      <c r="B17" s="3">
        <v>19</v>
      </c>
      <c r="C17" s="3">
        <v>23</v>
      </c>
      <c r="D17" s="3">
        <v>17</v>
      </c>
      <c r="E17" s="3">
        <v>10</v>
      </c>
      <c r="F17" s="3">
        <v>25</v>
      </c>
      <c r="G17" s="6"/>
      <c r="H17" s="2" t="s">
        <v>19</v>
      </c>
      <c r="I17" s="4">
        <v>9</v>
      </c>
      <c r="J17" s="4">
        <v>6</v>
      </c>
      <c r="K17" s="4">
        <v>14</v>
      </c>
      <c r="L17" s="4">
        <v>10</v>
      </c>
      <c r="M17" s="4">
        <v>21</v>
      </c>
      <c r="O17" s="13" t="s">
        <v>19</v>
      </c>
      <c r="P17" s="14">
        <v>0</v>
      </c>
      <c r="Q17" s="14">
        <v>0</v>
      </c>
      <c r="R17" s="14">
        <v>0</v>
      </c>
      <c r="S17" s="14">
        <v>1</v>
      </c>
      <c r="T17" s="14">
        <v>0</v>
      </c>
      <c r="U17" s="15">
        <f t="shared" si="0"/>
        <v>1</v>
      </c>
      <c r="V17" s="8" t="s">
        <v>55</v>
      </c>
      <c r="W17">
        <v>1</v>
      </c>
    </row>
    <row r="18" spans="1:23" x14ac:dyDescent="0.2">
      <c r="A18" s="2" t="s">
        <v>20</v>
      </c>
      <c r="B18" s="3">
        <v>20</v>
      </c>
      <c r="C18" s="3">
        <v>21</v>
      </c>
      <c r="D18" s="3">
        <v>21</v>
      </c>
      <c r="E18" s="3">
        <v>20</v>
      </c>
      <c r="F18" s="3">
        <v>22</v>
      </c>
      <c r="G18" s="6"/>
      <c r="H18" s="2" t="s">
        <v>20</v>
      </c>
      <c r="I18" s="4">
        <v>11</v>
      </c>
      <c r="J18" s="4">
        <v>16</v>
      </c>
      <c r="K18" s="4">
        <v>16</v>
      </c>
      <c r="L18" s="4">
        <v>14</v>
      </c>
      <c r="M18" s="4">
        <v>12</v>
      </c>
      <c r="O18" s="13" t="s">
        <v>20</v>
      </c>
      <c r="P18" s="14">
        <v>1</v>
      </c>
      <c r="Q18" s="14">
        <v>0</v>
      </c>
      <c r="R18" s="14">
        <v>0</v>
      </c>
      <c r="S18" s="14">
        <v>0</v>
      </c>
      <c r="T18" s="14">
        <v>0</v>
      </c>
      <c r="U18" s="15">
        <f t="shared" si="0"/>
        <v>1</v>
      </c>
      <c r="V18" s="8" t="s">
        <v>55</v>
      </c>
      <c r="W18">
        <v>1</v>
      </c>
    </row>
    <row r="19" spans="1:23" x14ac:dyDescent="0.2">
      <c r="A19" s="2" t="s">
        <v>21</v>
      </c>
      <c r="B19" s="3">
        <v>21</v>
      </c>
      <c r="C19" s="3">
        <v>20</v>
      </c>
      <c r="D19" s="3">
        <v>13</v>
      </c>
      <c r="E19" s="3">
        <v>13</v>
      </c>
      <c r="F19" s="3">
        <v>18</v>
      </c>
      <c r="G19" s="6"/>
      <c r="H19" s="2" t="s">
        <v>21</v>
      </c>
      <c r="I19" s="4">
        <v>18</v>
      </c>
      <c r="J19" s="4">
        <v>21</v>
      </c>
      <c r="K19" s="4">
        <v>24</v>
      </c>
      <c r="L19" s="4">
        <v>5</v>
      </c>
      <c r="M19" s="4">
        <v>14</v>
      </c>
      <c r="O19" s="13" t="s">
        <v>21</v>
      </c>
      <c r="P19" s="14">
        <v>0</v>
      </c>
      <c r="Q19" s="14">
        <v>0</v>
      </c>
      <c r="R19" s="14">
        <v>0</v>
      </c>
      <c r="S19" s="14">
        <v>1</v>
      </c>
      <c r="T19" s="14">
        <v>0</v>
      </c>
      <c r="U19" s="15">
        <f t="shared" si="0"/>
        <v>1</v>
      </c>
      <c r="V19" s="8" t="s">
        <v>55</v>
      </c>
      <c r="W19">
        <v>1</v>
      </c>
    </row>
    <row r="20" spans="1:23" x14ac:dyDescent="0.2">
      <c r="A20" s="2" t="s">
        <v>22</v>
      </c>
      <c r="B20" s="3">
        <v>17</v>
      </c>
      <c r="C20" s="3">
        <v>13</v>
      </c>
      <c r="D20" s="3">
        <v>18</v>
      </c>
      <c r="E20" s="3">
        <v>13</v>
      </c>
      <c r="F20" s="3">
        <v>24</v>
      </c>
      <c r="G20" s="6"/>
      <c r="H20" s="2" t="s">
        <v>22</v>
      </c>
      <c r="I20" s="4">
        <v>21</v>
      </c>
      <c r="J20" s="4">
        <v>7</v>
      </c>
      <c r="K20" s="4">
        <v>24</v>
      </c>
      <c r="L20" s="4">
        <v>9</v>
      </c>
      <c r="M20" s="4">
        <v>18</v>
      </c>
      <c r="O20" s="13" t="s">
        <v>22</v>
      </c>
      <c r="P20" s="14">
        <v>0</v>
      </c>
      <c r="Q20" s="14">
        <v>1</v>
      </c>
      <c r="R20" s="14">
        <v>0</v>
      </c>
      <c r="S20" s="14">
        <v>0</v>
      </c>
      <c r="T20" s="14">
        <v>0</v>
      </c>
      <c r="U20" s="15">
        <f t="shared" si="0"/>
        <v>1</v>
      </c>
      <c r="V20" s="8" t="s">
        <v>55</v>
      </c>
      <c r="W20">
        <v>1</v>
      </c>
    </row>
    <row r="21" spans="1:23" x14ac:dyDescent="0.2">
      <c r="A21" s="2" t="s">
        <v>23</v>
      </c>
      <c r="B21" s="3">
        <v>16</v>
      </c>
      <c r="C21" s="3">
        <v>11</v>
      </c>
      <c r="D21" s="3">
        <v>18</v>
      </c>
      <c r="E21" s="3">
        <v>17</v>
      </c>
      <c r="F21" s="3">
        <v>23</v>
      </c>
      <c r="G21" s="6"/>
      <c r="H21" s="2" t="s">
        <v>23</v>
      </c>
      <c r="I21" s="4">
        <v>20</v>
      </c>
      <c r="J21" s="4">
        <v>24</v>
      </c>
      <c r="K21" s="4">
        <v>16</v>
      </c>
      <c r="L21" s="4">
        <v>20</v>
      </c>
      <c r="M21" s="4">
        <v>8</v>
      </c>
      <c r="O21" s="13" t="s">
        <v>23</v>
      </c>
      <c r="P21" s="14">
        <v>0</v>
      </c>
      <c r="Q21" s="14">
        <v>1</v>
      </c>
      <c r="R21" s="14">
        <v>0</v>
      </c>
      <c r="S21" s="14">
        <v>0</v>
      </c>
      <c r="T21" s="14">
        <v>0</v>
      </c>
      <c r="U21" s="15">
        <f t="shared" si="0"/>
        <v>1</v>
      </c>
      <c r="V21" s="8" t="s">
        <v>55</v>
      </c>
      <c r="W21">
        <v>1</v>
      </c>
    </row>
    <row r="22" spans="1:23" x14ac:dyDescent="0.2">
      <c r="A22" s="2" t="s">
        <v>24</v>
      </c>
      <c r="B22" s="3">
        <v>16</v>
      </c>
      <c r="C22" s="3">
        <v>25</v>
      </c>
      <c r="D22" s="3">
        <v>22</v>
      </c>
      <c r="E22" s="3">
        <v>17</v>
      </c>
      <c r="F22" s="3">
        <v>21</v>
      </c>
      <c r="G22" s="6"/>
      <c r="H22" s="2" t="s">
        <v>24</v>
      </c>
      <c r="I22" s="4">
        <v>19</v>
      </c>
      <c r="J22" s="4">
        <v>7</v>
      </c>
      <c r="K22" s="4">
        <v>15</v>
      </c>
      <c r="L22" s="4">
        <v>6</v>
      </c>
      <c r="M22" s="4">
        <v>17</v>
      </c>
      <c r="O22" s="13" t="s">
        <v>24</v>
      </c>
      <c r="P22" s="14">
        <v>0</v>
      </c>
      <c r="Q22" s="14">
        <v>0</v>
      </c>
      <c r="R22" s="14">
        <v>0</v>
      </c>
      <c r="S22" s="14">
        <v>1</v>
      </c>
      <c r="T22" s="14">
        <v>0</v>
      </c>
      <c r="U22" s="15">
        <f t="shared" si="0"/>
        <v>1</v>
      </c>
      <c r="V22" s="8" t="s">
        <v>55</v>
      </c>
      <c r="W22">
        <v>1</v>
      </c>
    </row>
    <row r="23" spans="1:23" x14ac:dyDescent="0.2">
      <c r="A23" s="2" t="s">
        <v>25</v>
      </c>
      <c r="B23" s="3">
        <v>21</v>
      </c>
      <c r="C23" s="3">
        <v>19</v>
      </c>
      <c r="D23" s="3">
        <v>13</v>
      </c>
      <c r="E23" s="3">
        <v>13</v>
      </c>
      <c r="F23" s="3">
        <v>17</v>
      </c>
      <c r="G23" s="6"/>
      <c r="H23" s="2" t="s">
        <v>25</v>
      </c>
      <c r="I23" s="4">
        <v>21</v>
      </c>
      <c r="J23" s="4">
        <v>14</v>
      </c>
      <c r="K23" s="4">
        <v>12</v>
      </c>
      <c r="L23" s="4">
        <v>11</v>
      </c>
      <c r="M23" s="4">
        <v>24</v>
      </c>
      <c r="O23" s="13" t="s">
        <v>25</v>
      </c>
      <c r="P23" s="14">
        <v>0</v>
      </c>
      <c r="Q23" s="14">
        <v>0</v>
      </c>
      <c r="R23" s="14">
        <v>1</v>
      </c>
      <c r="S23" s="14">
        <v>0</v>
      </c>
      <c r="T23" s="14">
        <v>0</v>
      </c>
      <c r="U23" s="15">
        <f t="shared" si="0"/>
        <v>1</v>
      </c>
      <c r="V23" s="8" t="s">
        <v>55</v>
      </c>
      <c r="W23">
        <v>1</v>
      </c>
    </row>
    <row r="24" spans="1:23" x14ac:dyDescent="0.2">
      <c r="A24" s="2" t="s">
        <v>26</v>
      </c>
      <c r="B24" s="3">
        <v>17</v>
      </c>
      <c r="C24" s="3">
        <v>21</v>
      </c>
      <c r="D24" s="3">
        <v>20</v>
      </c>
      <c r="E24" s="3">
        <v>17</v>
      </c>
      <c r="F24" s="3">
        <v>23</v>
      </c>
      <c r="G24" s="6"/>
      <c r="H24" s="2" t="s">
        <v>26</v>
      </c>
      <c r="I24" s="4">
        <v>21</v>
      </c>
      <c r="J24" s="4">
        <v>7</v>
      </c>
      <c r="K24" s="4">
        <v>13</v>
      </c>
      <c r="L24" s="4">
        <v>9</v>
      </c>
      <c r="M24" s="4">
        <v>8</v>
      </c>
      <c r="O24" s="13" t="s">
        <v>26</v>
      </c>
      <c r="P24" s="14">
        <v>0</v>
      </c>
      <c r="Q24" s="14">
        <v>0</v>
      </c>
      <c r="R24" s="14">
        <v>0</v>
      </c>
      <c r="S24" s="14">
        <v>1</v>
      </c>
      <c r="T24" s="14">
        <v>0</v>
      </c>
      <c r="U24" s="15">
        <f t="shared" si="0"/>
        <v>1</v>
      </c>
      <c r="V24" s="8" t="s">
        <v>55</v>
      </c>
      <c r="W24">
        <v>1</v>
      </c>
    </row>
    <row r="25" spans="1:23" x14ac:dyDescent="0.2">
      <c r="A25" s="2" t="s">
        <v>27</v>
      </c>
      <c r="B25" s="3">
        <v>13</v>
      </c>
      <c r="C25" s="3">
        <v>14</v>
      </c>
      <c r="D25" s="3">
        <v>23</v>
      </c>
      <c r="E25" s="3">
        <v>19</v>
      </c>
      <c r="F25" s="3">
        <v>23</v>
      </c>
      <c r="G25" s="6"/>
      <c r="H25" s="2" t="s">
        <v>27</v>
      </c>
      <c r="I25" s="4">
        <v>7</v>
      </c>
      <c r="J25" s="4">
        <v>18</v>
      </c>
      <c r="K25" s="4">
        <v>7</v>
      </c>
      <c r="L25" s="4">
        <v>5</v>
      </c>
      <c r="M25" s="4">
        <v>20</v>
      </c>
      <c r="O25" s="13" t="s">
        <v>27</v>
      </c>
      <c r="P25" s="14">
        <v>1</v>
      </c>
      <c r="Q25" s="14">
        <v>0</v>
      </c>
      <c r="R25" s="14">
        <v>0</v>
      </c>
      <c r="S25" s="14">
        <v>0</v>
      </c>
      <c r="T25" s="14">
        <v>0</v>
      </c>
      <c r="U25" s="15">
        <f t="shared" si="0"/>
        <v>1</v>
      </c>
      <c r="V25" s="8" t="s">
        <v>55</v>
      </c>
      <c r="W25">
        <v>1</v>
      </c>
    </row>
    <row r="26" spans="1:23" x14ac:dyDescent="0.2">
      <c r="A26" s="2" t="s">
        <v>28</v>
      </c>
      <c r="B26" s="3">
        <v>13</v>
      </c>
      <c r="C26" s="3">
        <v>18</v>
      </c>
      <c r="D26" s="3">
        <v>24</v>
      </c>
      <c r="E26" s="3">
        <v>20</v>
      </c>
      <c r="F26" s="3">
        <v>17</v>
      </c>
      <c r="G26" s="6"/>
      <c r="H26" s="2" t="s">
        <v>28</v>
      </c>
      <c r="I26" s="4">
        <v>23</v>
      </c>
      <c r="J26" s="4">
        <v>13</v>
      </c>
      <c r="K26" s="4">
        <v>18</v>
      </c>
      <c r="L26" s="4">
        <v>6</v>
      </c>
      <c r="M26" s="4">
        <v>15</v>
      </c>
      <c r="O26" s="13" t="s">
        <v>28</v>
      </c>
      <c r="P26" s="14">
        <v>0</v>
      </c>
      <c r="Q26" s="14">
        <v>1</v>
      </c>
      <c r="R26" s="14">
        <v>0</v>
      </c>
      <c r="S26" s="14">
        <v>0</v>
      </c>
      <c r="T26" s="14">
        <v>0</v>
      </c>
      <c r="U26" s="15">
        <f t="shared" si="0"/>
        <v>1</v>
      </c>
      <c r="V26" s="8" t="s">
        <v>55</v>
      </c>
      <c r="W26">
        <v>1</v>
      </c>
    </row>
    <row r="27" spans="1:23" x14ac:dyDescent="0.2">
      <c r="A27" s="2" t="s">
        <v>29</v>
      </c>
      <c r="B27" s="3">
        <v>17</v>
      </c>
      <c r="C27" s="3">
        <v>19</v>
      </c>
      <c r="D27" s="3">
        <v>16</v>
      </c>
      <c r="E27" s="3">
        <v>17</v>
      </c>
      <c r="F27" s="3">
        <v>20</v>
      </c>
      <c r="G27" s="7"/>
      <c r="H27" s="2" t="s">
        <v>29</v>
      </c>
      <c r="I27" s="4">
        <v>24</v>
      </c>
      <c r="J27" s="4">
        <v>24</v>
      </c>
      <c r="K27" s="4">
        <v>16</v>
      </c>
      <c r="L27" s="4">
        <v>20</v>
      </c>
      <c r="M27" s="4">
        <v>18</v>
      </c>
      <c r="O27" s="13" t="s">
        <v>29</v>
      </c>
      <c r="P27" s="14">
        <v>0</v>
      </c>
      <c r="Q27" s="14">
        <v>0</v>
      </c>
      <c r="R27" s="14">
        <v>1</v>
      </c>
      <c r="S27" s="14">
        <v>0</v>
      </c>
      <c r="T27" s="14">
        <v>0</v>
      </c>
      <c r="U27" s="15">
        <f t="shared" si="0"/>
        <v>1</v>
      </c>
      <c r="V27" s="8" t="s">
        <v>55</v>
      </c>
      <c r="W27">
        <v>1</v>
      </c>
    </row>
    <row r="28" spans="1:23" x14ac:dyDescent="0.2">
      <c r="A28" s="2" t="s">
        <v>30</v>
      </c>
      <c r="B28" s="3">
        <v>14</v>
      </c>
      <c r="C28" s="3">
        <v>15</v>
      </c>
      <c r="D28" s="3">
        <v>24</v>
      </c>
      <c r="E28" s="3">
        <v>14</v>
      </c>
      <c r="F28" s="3">
        <v>23</v>
      </c>
      <c r="H28" s="2" t="s">
        <v>30</v>
      </c>
      <c r="I28" s="4">
        <v>15</v>
      </c>
      <c r="J28" s="4">
        <v>22</v>
      </c>
      <c r="K28" s="4">
        <v>19</v>
      </c>
      <c r="L28" s="4">
        <v>25</v>
      </c>
      <c r="M28" s="4">
        <v>25</v>
      </c>
      <c r="O28" s="13" t="s">
        <v>30</v>
      </c>
      <c r="P28" s="14">
        <v>1</v>
      </c>
      <c r="Q28" s="14">
        <v>0</v>
      </c>
      <c r="R28" s="14">
        <v>0</v>
      </c>
      <c r="S28" s="14">
        <v>0</v>
      </c>
      <c r="T28" s="14">
        <v>0</v>
      </c>
      <c r="U28" s="15">
        <f t="shared" si="0"/>
        <v>1</v>
      </c>
      <c r="V28" s="8" t="s">
        <v>55</v>
      </c>
      <c r="W28">
        <v>1</v>
      </c>
    </row>
    <row r="29" spans="1:23" x14ac:dyDescent="0.2">
      <c r="A29" s="2" t="s">
        <v>31</v>
      </c>
      <c r="B29" s="3">
        <v>12</v>
      </c>
      <c r="C29" s="3">
        <v>25</v>
      </c>
      <c r="D29" s="3">
        <v>16</v>
      </c>
      <c r="E29" s="3">
        <v>21</v>
      </c>
      <c r="F29" s="3">
        <v>24</v>
      </c>
      <c r="H29" s="2" t="s">
        <v>31</v>
      </c>
      <c r="I29" s="4">
        <v>14</v>
      </c>
      <c r="J29" s="4">
        <v>20</v>
      </c>
      <c r="K29" s="4">
        <v>12</v>
      </c>
      <c r="L29" s="4">
        <v>17</v>
      </c>
      <c r="M29" s="4">
        <v>19</v>
      </c>
      <c r="O29" s="13" t="s">
        <v>31</v>
      </c>
      <c r="P29" s="14">
        <v>1</v>
      </c>
      <c r="Q29" s="14">
        <v>0</v>
      </c>
      <c r="R29" s="14">
        <v>0</v>
      </c>
      <c r="S29" s="14">
        <v>0</v>
      </c>
      <c r="T29" s="14">
        <v>0</v>
      </c>
      <c r="U29" s="15">
        <f t="shared" si="0"/>
        <v>1</v>
      </c>
      <c r="V29" s="8" t="s">
        <v>55</v>
      </c>
      <c r="W29">
        <v>1</v>
      </c>
    </row>
    <row r="30" spans="1:23" x14ac:dyDescent="0.2">
      <c r="A30" s="2" t="s">
        <v>32</v>
      </c>
      <c r="B30" s="3">
        <v>24</v>
      </c>
      <c r="C30" s="3">
        <v>23</v>
      </c>
      <c r="D30" s="3">
        <v>23</v>
      </c>
      <c r="E30" s="3">
        <v>23</v>
      </c>
      <c r="F30" s="3">
        <v>19</v>
      </c>
      <c r="H30" s="2" t="s">
        <v>32</v>
      </c>
      <c r="I30" s="4">
        <v>18</v>
      </c>
      <c r="J30" s="4">
        <v>10</v>
      </c>
      <c r="K30" s="4">
        <v>13</v>
      </c>
      <c r="L30" s="4">
        <v>19</v>
      </c>
      <c r="M30" s="4">
        <v>7</v>
      </c>
      <c r="O30" s="13" t="s">
        <v>32</v>
      </c>
      <c r="P30" s="14">
        <v>0</v>
      </c>
      <c r="Q30" s="14">
        <v>0</v>
      </c>
      <c r="R30" s="14">
        <v>0</v>
      </c>
      <c r="S30" s="14">
        <v>0</v>
      </c>
      <c r="T30" s="14">
        <v>1</v>
      </c>
      <c r="U30" s="15">
        <f t="shared" si="0"/>
        <v>1</v>
      </c>
      <c r="V30" s="8" t="s">
        <v>55</v>
      </c>
      <c r="W30">
        <v>1</v>
      </c>
    </row>
    <row r="31" spans="1:23" x14ac:dyDescent="0.2">
      <c r="A31" s="2" t="s">
        <v>33</v>
      </c>
      <c r="B31" s="3">
        <v>20</v>
      </c>
      <c r="C31" s="3">
        <v>17</v>
      </c>
      <c r="D31" s="3">
        <v>15</v>
      </c>
      <c r="E31" s="3">
        <v>17</v>
      </c>
      <c r="F31" s="3">
        <v>15</v>
      </c>
      <c r="H31" s="2" t="s">
        <v>33</v>
      </c>
      <c r="I31" s="4">
        <v>10</v>
      </c>
      <c r="J31" s="4">
        <v>21</v>
      </c>
      <c r="K31" s="4">
        <v>22</v>
      </c>
      <c r="L31" s="4">
        <v>11</v>
      </c>
      <c r="M31" s="4">
        <v>16</v>
      </c>
      <c r="O31" s="13" t="s">
        <v>33</v>
      </c>
      <c r="P31" s="14">
        <v>0</v>
      </c>
      <c r="Q31" s="14">
        <v>0</v>
      </c>
      <c r="R31" s="14">
        <v>0</v>
      </c>
      <c r="S31" s="14">
        <v>0</v>
      </c>
      <c r="T31" s="14">
        <v>1</v>
      </c>
      <c r="U31" s="15">
        <f t="shared" si="0"/>
        <v>1</v>
      </c>
      <c r="V31" s="8" t="s">
        <v>55</v>
      </c>
      <c r="W31">
        <v>1</v>
      </c>
    </row>
    <row r="32" spans="1:23" x14ac:dyDescent="0.2">
      <c r="A32" s="2" t="s">
        <v>34</v>
      </c>
      <c r="B32" s="3">
        <v>15</v>
      </c>
      <c r="C32" s="3">
        <v>19</v>
      </c>
      <c r="D32" s="3">
        <v>10</v>
      </c>
      <c r="E32" s="3">
        <v>19</v>
      </c>
      <c r="F32" s="3">
        <v>15</v>
      </c>
      <c r="H32" s="2" t="s">
        <v>34</v>
      </c>
      <c r="I32" s="4">
        <v>19</v>
      </c>
      <c r="J32" s="4">
        <v>20</v>
      </c>
      <c r="K32" s="4">
        <v>24</v>
      </c>
      <c r="L32" s="4">
        <v>15</v>
      </c>
      <c r="M32" s="4">
        <v>15</v>
      </c>
      <c r="O32" s="13" t="s">
        <v>34</v>
      </c>
      <c r="P32" s="14">
        <v>0</v>
      </c>
      <c r="Q32" s="14">
        <v>0</v>
      </c>
      <c r="R32" s="14">
        <v>1</v>
      </c>
      <c r="S32" s="14">
        <v>0</v>
      </c>
      <c r="T32" s="14">
        <v>0</v>
      </c>
      <c r="U32" s="15">
        <f t="shared" si="0"/>
        <v>1</v>
      </c>
      <c r="V32" s="8" t="s">
        <v>55</v>
      </c>
      <c r="W32">
        <v>1</v>
      </c>
    </row>
    <row r="33" spans="1:23" x14ac:dyDescent="0.2">
      <c r="A33" s="2" t="s">
        <v>35</v>
      </c>
      <c r="B33" s="3">
        <v>22</v>
      </c>
      <c r="C33" s="3">
        <v>15</v>
      </c>
      <c r="D33" s="3">
        <v>23</v>
      </c>
      <c r="E33" s="3">
        <v>18</v>
      </c>
      <c r="F33" s="3">
        <v>14</v>
      </c>
      <c r="H33" s="2" t="s">
        <v>35</v>
      </c>
      <c r="I33" s="4">
        <v>5</v>
      </c>
      <c r="J33" s="4">
        <v>11</v>
      </c>
      <c r="K33" s="4">
        <v>17</v>
      </c>
      <c r="L33" s="4">
        <v>18</v>
      </c>
      <c r="M33" s="4">
        <v>15</v>
      </c>
      <c r="O33" s="13" t="s">
        <v>35</v>
      </c>
      <c r="P33" s="14">
        <v>0</v>
      </c>
      <c r="Q33" s="14">
        <v>1</v>
      </c>
      <c r="R33" s="14">
        <v>0</v>
      </c>
      <c r="S33" s="14">
        <v>0</v>
      </c>
      <c r="T33" s="14">
        <v>0</v>
      </c>
      <c r="U33" s="15">
        <f t="shared" si="0"/>
        <v>1</v>
      </c>
      <c r="V33" s="8" t="s">
        <v>55</v>
      </c>
      <c r="W33">
        <v>1</v>
      </c>
    </row>
    <row r="34" spans="1:23" x14ac:dyDescent="0.2">
      <c r="A34" s="2" t="s">
        <v>36</v>
      </c>
      <c r="B34" s="3">
        <v>15</v>
      </c>
      <c r="C34" s="3">
        <v>13</v>
      </c>
      <c r="D34" s="3">
        <v>23</v>
      </c>
      <c r="E34" s="3">
        <v>22</v>
      </c>
      <c r="F34" s="3">
        <v>24</v>
      </c>
      <c r="H34" s="2" t="s">
        <v>36</v>
      </c>
      <c r="I34" s="4">
        <v>22</v>
      </c>
      <c r="J34" s="4">
        <v>10</v>
      </c>
      <c r="K34" s="4">
        <v>12</v>
      </c>
      <c r="L34" s="4">
        <v>24</v>
      </c>
      <c r="M34" s="4">
        <v>6</v>
      </c>
      <c r="O34" s="13" t="s">
        <v>36</v>
      </c>
      <c r="P34" s="14">
        <v>0</v>
      </c>
      <c r="Q34" s="14">
        <v>1</v>
      </c>
      <c r="R34" s="14">
        <v>0</v>
      </c>
      <c r="S34" s="14">
        <v>0</v>
      </c>
      <c r="T34" s="14">
        <v>0</v>
      </c>
      <c r="U34" s="15">
        <f t="shared" si="0"/>
        <v>1</v>
      </c>
      <c r="V34" s="8" t="s">
        <v>55</v>
      </c>
      <c r="W34">
        <v>1</v>
      </c>
    </row>
    <row r="35" spans="1:23" x14ac:dyDescent="0.2">
      <c r="A35" s="2" t="s">
        <v>37</v>
      </c>
      <c r="B35" s="3">
        <v>12</v>
      </c>
      <c r="C35" s="3">
        <v>25</v>
      </c>
      <c r="D35" s="3">
        <v>14</v>
      </c>
      <c r="E35" s="3">
        <v>12</v>
      </c>
      <c r="F35" s="3">
        <v>15</v>
      </c>
      <c r="H35" s="2" t="s">
        <v>37</v>
      </c>
      <c r="I35" s="4">
        <v>13</v>
      </c>
      <c r="J35" s="4">
        <v>24</v>
      </c>
      <c r="K35" s="4">
        <v>19</v>
      </c>
      <c r="L35" s="4">
        <v>7</v>
      </c>
      <c r="M35" s="4">
        <v>11</v>
      </c>
      <c r="O35" s="13" t="s">
        <v>37</v>
      </c>
      <c r="P35" s="14">
        <v>1</v>
      </c>
      <c r="Q35" s="14">
        <v>0</v>
      </c>
      <c r="R35" s="14">
        <v>0</v>
      </c>
      <c r="S35" s="14">
        <v>0</v>
      </c>
      <c r="T35" s="14">
        <v>0</v>
      </c>
      <c r="U35" s="15">
        <f t="shared" si="0"/>
        <v>1</v>
      </c>
      <c r="V35" s="8" t="s">
        <v>55</v>
      </c>
      <c r="W35">
        <v>1</v>
      </c>
    </row>
    <row r="37" spans="1:23" x14ac:dyDescent="0.2">
      <c r="H37" s="2" t="s">
        <v>38</v>
      </c>
      <c r="I37" s="4">
        <v>76</v>
      </c>
      <c r="J37" s="4">
        <v>80</v>
      </c>
      <c r="K37" s="4">
        <v>75</v>
      </c>
      <c r="L37" s="4">
        <v>62</v>
      </c>
      <c r="M37" s="4">
        <v>72</v>
      </c>
      <c r="P37" s="16"/>
      <c r="Q37" s="17"/>
      <c r="R37" s="17"/>
      <c r="S37" s="17" t="s">
        <v>58</v>
      </c>
      <c r="T37" s="19">
        <f>SUMPRODUCT(B6:F35,P6:T35)</f>
        <v>424</v>
      </c>
      <c r="U37" s="17"/>
    </row>
    <row r="38" spans="1:23" x14ac:dyDescent="0.2">
      <c r="H38" s="13" t="s">
        <v>56</v>
      </c>
      <c r="I38" s="12">
        <f>SUMPRODUCT(I6:I35,P6:P35)</f>
        <v>72</v>
      </c>
      <c r="J38" s="12">
        <f>SUMPRODUCT(J6:J35,Q6:Q35)</f>
        <v>78</v>
      </c>
      <c r="K38" s="12">
        <f>SUMPRODUCT(K6:K35,R6:R35)</f>
        <v>75</v>
      </c>
      <c r="L38" s="12">
        <f>SUMPRODUCT(L6:L35,S6:S35)</f>
        <v>61</v>
      </c>
      <c r="M38" s="12">
        <f>SUMPRODUCT(M6:M35,T6:T35)</f>
        <v>72</v>
      </c>
    </row>
    <row r="39" spans="1:23" x14ac:dyDescent="0.2">
      <c r="I39" s="4"/>
    </row>
  </sheetData>
  <mergeCells count="2">
    <mergeCell ref="B3:F3"/>
    <mergeCell ref="I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2" max="2" width="24" customWidth="1"/>
  </cols>
  <sheetData>
    <row r="1" spans="1:11" ht="18" x14ac:dyDescent="0.2">
      <c r="A1" s="1" t="s">
        <v>39</v>
      </c>
    </row>
    <row r="3" spans="1:11" x14ac:dyDescent="0.2">
      <c r="A3" s="2" t="s">
        <v>40</v>
      </c>
      <c r="B3" s="2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K3" t="s">
        <v>48</v>
      </c>
    </row>
    <row r="4" spans="1:11" x14ac:dyDescent="0.2">
      <c r="A4" s="2">
        <v>1</v>
      </c>
      <c r="B4" s="8">
        <v>0.1</v>
      </c>
      <c r="C4" s="11">
        <v>0</v>
      </c>
      <c r="D4" s="11">
        <v>0</v>
      </c>
      <c r="E4" s="11">
        <v>0</v>
      </c>
      <c r="F4" s="11">
        <v>1</v>
      </c>
      <c r="G4" s="11">
        <v>0</v>
      </c>
      <c r="H4" s="11">
        <v>0</v>
      </c>
      <c r="I4" s="12">
        <f>SUM(C4:H4)</f>
        <v>1</v>
      </c>
      <c r="J4" s="8" t="s">
        <v>55</v>
      </c>
      <c r="K4">
        <v>1</v>
      </c>
    </row>
    <row r="5" spans="1:11" x14ac:dyDescent="0.2">
      <c r="A5" s="2">
        <v>2</v>
      </c>
      <c r="B5" s="8">
        <v>0.35</v>
      </c>
      <c r="C5" s="11">
        <v>0</v>
      </c>
      <c r="D5" s="11">
        <v>0</v>
      </c>
      <c r="E5" s="11">
        <v>0</v>
      </c>
      <c r="F5" s="11">
        <v>0</v>
      </c>
      <c r="G5" s="11">
        <v>1</v>
      </c>
      <c r="H5" s="11">
        <v>0</v>
      </c>
      <c r="I5" s="12">
        <f t="shared" ref="I5:I15" si="0">SUM(C5:H5)</f>
        <v>1</v>
      </c>
      <c r="J5" s="8" t="s">
        <v>55</v>
      </c>
      <c r="K5">
        <v>1</v>
      </c>
    </row>
    <row r="6" spans="1:11" x14ac:dyDescent="0.2">
      <c r="A6" s="2">
        <v>3</v>
      </c>
      <c r="B6" s="8">
        <v>0.5</v>
      </c>
      <c r="C6" s="11">
        <v>0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2">
        <f t="shared" si="0"/>
        <v>1</v>
      </c>
      <c r="J6" s="8" t="s">
        <v>55</v>
      </c>
      <c r="K6">
        <v>1</v>
      </c>
    </row>
    <row r="7" spans="1:11" x14ac:dyDescent="0.2">
      <c r="A7" s="2">
        <v>4</v>
      </c>
      <c r="B7" s="8">
        <v>0.4</v>
      </c>
      <c r="C7" s="11">
        <v>1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2">
        <f t="shared" si="0"/>
        <v>1</v>
      </c>
      <c r="J7" s="8" t="s">
        <v>55</v>
      </c>
      <c r="K7">
        <v>1</v>
      </c>
    </row>
    <row r="8" spans="1:11" x14ac:dyDescent="0.2">
      <c r="A8" s="2">
        <v>5</v>
      </c>
      <c r="B8" s="8">
        <v>0.6</v>
      </c>
      <c r="C8" s="11">
        <v>0</v>
      </c>
      <c r="D8" s="11">
        <v>0</v>
      </c>
      <c r="E8" s="11">
        <v>0</v>
      </c>
      <c r="F8" s="11">
        <v>1</v>
      </c>
      <c r="G8" s="11">
        <v>0</v>
      </c>
      <c r="H8" s="11">
        <v>0</v>
      </c>
      <c r="I8" s="12">
        <f t="shared" si="0"/>
        <v>1</v>
      </c>
      <c r="J8" s="8" t="s">
        <v>55</v>
      </c>
      <c r="K8">
        <v>1</v>
      </c>
    </row>
    <row r="9" spans="1:11" x14ac:dyDescent="0.2">
      <c r="A9" s="2">
        <v>6</v>
      </c>
      <c r="B9" s="8">
        <v>0.4</v>
      </c>
      <c r="C9" s="11">
        <v>0</v>
      </c>
      <c r="D9" s="11">
        <v>0</v>
      </c>
      <c r="E9" s="11">
        <v>0</v>
      </c>
      <c r="F9" s="11">
        <v>0</v>
      </c>
      <c r="G9" s="11">
        <v>1</v>
      </c>
      <c r="H9" s="11">
        <v>0</v>
      </c>
      <c r="I9" s="12">
        <f t="shared" si="0"/>
        <v>1</v>
      </c>
      <c r="J9" s="8" t="s">
        <v>55</v>
      </c>
      <c r="K9">
        <v>1</v>
      </c>
    </row>
    <row r="10" spans="1:11" x14ac:dyDescent="0.2">
      <c r="A10" s="2">
        <v>7</v>
      </c>
      <c r="B10" s="8">
        <v>0.3</v>
      </c>
      <c r="C10" s="11">
        <v>0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2">
        <f t="shared" si="0"/>
        <v>1</v>
      </c>
      <c r="J10" s="8" t="s">
        <v>55</v>
      </c>
      <c r="K10">
        <v>1</v>
      </c>
    </row>
    <row r="11" spans="1:11" x14ac:dyDescent="0.2">
      <c r="A11" s="2">
        <v>8</v>
      </c>
      <c r="B11" s="8">
        <v>0.25</v>
      </c>
      <c r="C11" s="11">
        <v>0</v>
      </c>
      <c r="D11" s="11">
        <v>0</v>
      </c>
      <c r="E11" s="11">
        <v>0</v>
      </c>
      <c r="F11" s="11">
        <v>0</v>
      </c>
      <c r="G11" s="11">
        <v>1</v>
      </c>
      <c r="H11" s="11">
        <v>0</v>
      </c>
      <c r="I11" s="12">
        <f t="shared" si="0"/>
        <v>1</v>
      </c>
      <c r="J11" s="8" t="s">
        <v>55</v>
      </c>
      <c r="K11">
        <v>1</v>
      </c>
    </row>
    <row r="12" spans="1:11" x14ac:dyDescent="0.2">
      <c r="A12" s="2">
        <v>9</v>
      </c>
      <c r="B12" s="8">
        <v>0.5</v>
      </c>
      <c r="C12" s="11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2">
        <f t="shared" si="0"/>
        <v>1</v>
      </c>
      <c r="J12" s="8" t="s">
        <v>55</v>
      </c>
      <c r="K12">
        <v>1</v>
      </c>
    </row>
    <row r="13" spans="1:11" x14ac:dyDescent="0.2">
      <c r="A13" s="2">
        <v>10</v>
      </c>
      <c r="B13" s="8">
        <v>0.15</v>
      </c>
      <c r="C13" s="11">
        <v>0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2">
        <f t="shared" si="0"/>
        <v>1</v>
      </c>
      <c r="J13" s="8" t="s">
        <v>55</v>
      </c>
      <c r="K13">
        <v>1</v>
      </c>
    </row>
    <row r="14" spans="1:11" x14ac:dyDescent="0.2">
      <c r="A14" s="2">
        <v>11</v>
      </c>
      <c r="B14" s="8">
        <v>0.1</v>
      </c>
      <c r="C14" s="11">
        <v>0</v>
      </c>
      <c r="D14" s="11">
        <v>0</v>
      </c>
      <c r="E14" s="11">
        <v>0</v>
      </c>
      <c r="F14" s="11">
        <v>1</v>
      </c>
      <c r="G14" s="11">
        <v>0</v>
      </c>
      <c r="H14" s="11">
        <v>0</v>
      </c>
      <c r="I14" s="12">
        <f t="shared" si="0"/>
        <v>1</v>
      </c>
      <c r="J14" s="8" t="s">
        <v>55</v>
      </c>
      <c r="K14">
        <v>1</v>
      </c>
    </row>
    <row r="15" spans="1:11" x14ac:dyDescent="0.2">
      <c r="A15" s="2">
        <v>12</v>
      </c>
      <c r="B15" s="8">
        <v>0.2</v>
      </c>
      <c r="C15" s="11">
        <v>0</v>
      </c>
      <c r="D15" s="11">
        <v>0</v>
      </c>
      <c r="E15" s="11">
        <v>0</v>
      </c>
      <c r="F15" s="11">
        <v>1</v>
      </c>
      <c r="G15" s="11">
        <v>0</v>
      </c>
      <c r="H15" s="11">
        <v>0</v>
      </c>
      <c r="I15" s="12">
        <f t="shared" si="0"/>
        <v>1</v>
      </c>
      <c r="J15" s="8" t="s">
        <v>55</v>
      </c>
      <c r="K15">
        <v>1</v>
      </c>
    </row>
    <row r="16" spans="1:11" x14ac:dyDescent="0.2">
      <c r="B16" s="2">
        <f>SUM(B4:B15)</f>
        <v>3.85</v>
      </c>
      <c r="C16" s="9"/>
      <c r="D16" s="10"/>
      <c r="E16" s="8"/>
      <c r="F16" s="8"/>
    </row>
    <row r="17" spans="2:8" x14ac:dyDescent="0.2">
      <c r="B17" s="2"/>
      <c r="C17" s="9"/>
      <c r="D17" s="10"/>
      <c r="E17" s="8"/>
      <c r="F17" s="8"/>
    </row>
    <row r="18" spans="2:8" x14ac:dyDescent="0.2">
      <c r="B18" t="s">
        <v>49</v>
      </c>
      <c r="C18" s="11">
        <v>1</v>
      </c>
      <c r="D18" s="11">
        <v>0</v>
      </c>
      <c r="E18" s="11">
        <v>1</v>
      </c>
      <c r="F18" s="11">
        <v>1</v>
      </c>
      <c r="G18" s="11">
        <v>1</v>
      </c>
      <c r="H18" s="11">
        <v>0</v>
      </c>
    </row>
    <row r="19" spans="2:8" x14ac:dyDescent="0.2">
      <c r="B19" t="s">
        <v>50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2:8" x14ac:dyDescent="0.2">
      <c r="B20" t="s">
        <v>51</v>
      </c>
      <c r="C20" s="12">
        <f t="shared" ref="C20:H20" si="1">SUMPRODUCT($B4:$B15,C4:C15)</f>
        <v>0.9</v>
      </c>
      <c r="D20" s="12">
        <f t="shared" si="1"/>
        <v>0</v>
      </c>
      <c r="E20" s="12">
        <f t="shared" si="1"/>
        <v>0.95000000000000007</v>
      </c>
      <c r="F20" s="12">
        <f t="shared" si="1"/>
        <v>1</v>
      </c>
      <c r="G20" s="12">
        <f t="shared" si="1"/>
        <v>1</v>
      </c>
      <c r="H20" s="12">
        <f t="shared" si="1"/>
        <v>0</v>
      </c>
    </row>
    <row r="21" spans="2:8" x14ac:dyDescent="0.2">
      <c r="B21" t="s">
        <v>52</v>
      </c>
      <c r="C21">
        <f t="shared" ref="C21:H21" si="2">C18*C19</f>
        <v>1</v>
      </c>
      <c r="D21">
        <f t="shared" si="2"/>
        <v>0</v>
      </c>
      <c r="E21">
        <f t="shared" si="2"/>
        <v>1</v>
      </c>
      <c r="F21">
        <f t="shared" si="2"/>
        <v>1</v>
      </c>
      <c r="G21">
        <f t="shared" si="2"/>
        <v>1</v>
      </c>
      <c r="H21">
        <f t="shared" si="2"/>
        <v>0</v>
      </c>
    </row>
    <row r="22" spans="2:8" x14ac:dyDescent="0.2">
      <c r="B22" t="s">
        <v>53</v>
      </c>
      <c r="C22" s="19">
        <f>SUM(C18:H18)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generalised assignment</vt:lpstr>
      <vt:lpstr>bin packing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2026-03-06T10:05:38Z</dcterms:modified>
</cp:coreProperties>
</file>